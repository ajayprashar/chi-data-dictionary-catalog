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AI\chi-data-dictionary-catalog\workbooks\"/>
    </mc:Choice>
  </mc:AlternateContent>
  <xr:revisionPtr revIDLastSave="0" documentId="13_ncr:1_{B65E2CEE-13C7-40FF-B9DB-2BB3E8B5FB02}" xr6:coauthVersionLast="47" xr6:coauthVersionMax="47" xr10:uidLastSave="{00000000-0000-0000-0000-000000000000}"/>
  <bookViews>
    <workbookView xWindow="-120" yWindow="-120" windowWidth="29040" windowHeight="15720" activeTab="7" xr2:uid="{00000000-000D-0000-FFFF-FFFF00000000}"/>
  </bookViews>
  <sheets>
    <sheet name="README" sheetId="1" r:id="rId1"/>
    <sheet name="_Model" sheetId="2" state="hidden" r:id="rId2"/>
    <sheet name="Table_Index" sheetId="3" r:id="rId3"/>
    <sheet name="Lookup_Lists" sheetId="4" r:id="rId4"/>
    <sheet name="Catalog" sheetId="5" r:id="rId5"/>
    <sheet name="Dictionary" sheetId="6" r:id="rId6"/>
    <sheet name="Source_Availability" sheetId="7" r:id="rId7"/>
    <sheet name="ADT_Mappings" sheetId="8" r:id="rId8"/>
    <sheet name="CCDA_Mappings" sheetId="9" r:id="rId9"/>
    <sheet name="FHIR_Inventory" sheetId="10" r:id="rId10"/>
    <sheet name="Business_Rules" sheetId="11" r:id="rId11"/>
    <sheet name="Source_Registry" sheetId="12" r:id="rId12"/>
    <sheet name="Steward_Queue" sheetId="13" r:id="rId13"/>
    <sheet name="Concept_Explorer"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4" l="1"/>
  <c r="B13" i="14"/>
  <c r="B12" i="14"/>
  <c r="B11" i="14"/>
  <c r="B10" i="14"/>
  <c r="B9" i="14"/>
  <c r="B8" i="14"/>
  <c r="B7" i="14"/>
  <c r="B6" i="14"/>
  <c r="B5" i="14"/>
</calcChain>
</file>

<file path=xl/sharedStrings.xml><?xml version="1.0" encoding="utf-8"?>
<sst xmlns="http://schemas.openxmlformats.org/spreadsheetml/2006/main" count="4827" uniqueCount="1233">
  <si>
    <t>CHI Steward Workbook</t>
  </si>
  <si>
    <t>Start here</t>
  </si>
  <si>
    <t xml:space="preserve">  1.</t>
  </si>
  <si>
    <t>Open Concept_Explorer - B3 defaults to Patient.race; try the other demographics pilot IDs next.</t>
  </si>
  <si>
    <t xml:space="preserve">  2.</t>
  </si>
  <si>
    <t>Demographics pilot: Patient.race, Patient.ethnicity, Patient.language, Patient.gender_id, Patient.birth_sex.</t>
  </si>
  <si>
    <t xml:space="preserve">  3.</t>
  </si>
  <si>
    <t>Edit Catalog and Dictionary for each concept; use Lookup_Lists for allowed status values.</t>
  </si>
  <si>
    <t xml:space="preserve">  4.</t>
  </si>
  <si>
    <t>Check Source_Availability for source_id links; use Steward_Queue for workflow notes.</t>
  </si>
  <si>
    <t xml:space="preserve">  5.</t>
  </si>
  <si>
    <t>When ready: python scripts/import_steward_workbook_to_parquet.py</t>
  </si>
  <si>
    <t>Purpose</t>
  </si>
  <si>
    <t>Human-facing steward layer over governed ddc-* parquet. Each data sheet is a named Excel Table (chi_*).</t>
  </si>
  <si>
    <t>Table naming</t>
  </si>
  <si>
    <t>Pattern: chi_{artifact} in snake_case. Examples: chi_catalog, chi_dictionary, chi_source_availability.</t>
  </si>
  <si>
    <t>Table_Index</t>
  </si>
  <si>
    <t>Maps every sheet to role (Start here, Source linking, Mappings, Workflow, Reference), Excel Table name, and parquet artifact.</t>
  </si>
  <si>
    <t>Join key</t>
  </si>
  <si>
    <t>semantic_id links chi_catalog to chi_dictionary, chi_source_availability, and mapping tables.</t>
  </si>
  <si>
    <t>Concept_Explorer</t>
  </si>
  <si>
    <t>Change semantic_id in B3 to preview catalog, dictionary, and source fields on one row.</t>
  </si>
  <si>
    <t>Steward_Queue</t>
  </si>
  <si>
    <t>Demographics pilot concepts are listed first with suggested next actions. Track curation_status and steward notes here (not imported to parquet).</t>
  </si>
  <si>
    <t>Round trip</t>
  </si>
  <si>
    <t>python scripts/generate_steward_workbook.py exports parquet to Excel. python scripts/import_steward_workbook_to_parquet.py writes edits back to parquet.</t>
  </si>
  <si>
    <t>Do not import</t>
  </si>
  <si>
    <t>README, _Model, Table_Index, Lookup_Lists, Concept_Explorer are support sheets.</t>
  </si>
  <si>
    <t>rel_id</t>
  </si>
  <si>
    <t>parent_table</t>
  </si>
  <si>
    <t>parent_key</t>
  </si>
  <si>
    <t>child_table</t>
  </si>
  <si>
    <t>child_key</t>
  </si>
  <si>
    <t>cardinality</t>
  </si>
  <si>
    <t>description</t>
  </si>
  <si>
    <t>catalog_dictionary</t>
  </si>
  <si>
    <t>chi_catalog</t>
  </si>
  <si>
    <t>semantic_id</t>
  </si>
  <si>
    <t>chi_dictionary</t>
  </si>
  <si>
    <t>1:1</t>
  </si>
  <si>
    <t>Each governed concept has one implementation definition row.</t>
  </si>
  <si>
    <t>catalog_source_availability</t>
  </si>
  <si>
    <t>chi_source_availability</t>
  </si>
  <si>
    <t>1:N</t>
  </si>
  <si>
    <t>Links each concept to the data sources that can provide it.</t>
  </si>
  <si>
    <t>catalog_adt</t>
  </si>
  <si>
    <t>chi_adt_mappings</t>
  </si>
  <si>
    <t>HL7 ADT segment/field placements for the same concept.</t>
  </si>
  <si>
    <t>catalog_ccda</t>
  </si>
  <si>
    <t>chi_ccda_mappings</t>
  </si>
  <si>
    <t>C-CDA/CCD XML paths for the same concept.</t>
  </si>
  <si>
    <t>catalog_fhir_inventory</t>
  </si>
  <si>
    <t>chi_fhir_inventory</t>
  </si>
  <si>
    <t>FHIR standards inventory rows tied to the concept.</t>
  </si>
  <si>
    <t>catalog_business_rules</t>
  </si>
  <si>
    <t>chi_business_rules</t>
  </si>
  <si>
    <t>Organization-specific rules for the concept.</t>
  </si>
  <si>
    <t>catalog_steward_queue</t>
  </si>
  <si>
    <t>chi_steward_queue</t>
  </si>
  <si>
    <t>Optional steward workflow overlay keyed by semantic_id.</t>
  </si>
  <si>
    <t>excel_table_name</t>
  </si>
  <si>
    <t>sheet_tab</t>
  </si>
  <si>
    <t>parquet_or_role</t>
  </si>
  <si>
    <t>role</t>
  </si>
  <si>
    <t>(support)</t>
  </si>
  <si>
    <t>(lookup view; not imported)</t>
  </si>
  <si>
    <t>Catalog</t>
  </si>
  <si>
    <t>ddc-master_patient_catalog.parquet</t>
  </si>
  <si>
    <t>Dictionary</t>
  </si>
  <si>
    <t>ddc-master_patient_dictionary.parquet</t>
  </si>
  <si>
    <t>Source_Availability</t>
  </si>
  <si>
    <t>ddc-data_source_availability.parquet</t>
  </si>
  <si>
    <t>Source linking</t>
  </si>
  <si>
    <t>chi_source_registry</t>
  </si>
  <si>
    <t>Source_Registry</t>
  </si>
  <si>
    <t>(steward metadata)</t>
  </si>
  <si>
    <t>(Excel workflow overlay)</t>
  </si>
  <si>
    <t>Workflow</t>
  </si>
  <si>
    <t>ADT_Mappings</t>
  </si>
  <si>
    <t>ddc-hl7_adt_catalog.parquet</t>
  </si>
  <si>
    <t>Mappings</t>
  </si>
  <si>
    <t>CCDA_Mappings</t>
  </si>
  <si>
    <t>ddc-ccda_catalog.parquet</t>
  </si>
  <si>
    <t>FHIR_Inventory</t>
  </si>
  <si>
    <t>ddc-fhir_inventory.parquet</t>
  </si>
  <si>
    <t>Business_Rules</t>
  </si>
  <si>
    <t>ddc-business_rules.parquet</t>
  </si>
  <si>
    <t>chi_lookup_lists</t>
  </si>
  <si>
    <t>Lookup_Lists</t>
  </si>
  <si>
    <t>(reference lists)</t>
  </si>
  <si>
    <t>Reference</t>
  </si>
  <si>
    <t>chi_table_index</t>
  </si>
  <si>
    <t>(navigation map; not imported)</t>
  </si>
  <si>
    <t>source_id</t>
  </si>
  <si>
    <t>mapping_status</t>
  </si>
  <si>
    <t>approval_status</t>
  </si>
  <si>
    <t>availability</t>
  </si>
  <si>
    <t>curation_status</t>
  </si>
  <si>
    <t>Condition.code</t>
  </si>
  <si>
    <t>cmt</t>
  </si>
  <si>
    <t>mapped</t>
  </si>
  <si>
    <t>Pending</t>
  </si>
  <si>
    <t>full</t>
  </si>
  <si>
    <t>Needs Action</t>
  </si>
  <si>
    <t>Coverage.identifier</t>
  </si>
  <si>
    <t>needs_new_semantic</t>
  </si>
  <si>
    <t>Ready</t>
  </si>
  <si>
    <t>partial</t>
  </si>
  <si>
    <t>In Progress</t>
  </si>
  <si>
    <t>Coverage.payor</t>
  </si>
  <si>
    <t>out_of_scope</t>
  </si>
  <si>
    <t>Approved</t>
  </si>
  <si>
    <t>none</t>
  </si>
  <si>
    <t>Ready for Review</t>
  </si>
  <si>
    <t>Encounter.class</t>
  </si>
  <si>
    <t>Needs Changes</t>
  </si>
  <si>
    <t>unknown</t>
  </si>
  <si>
    <t>Complete</t>
  </si>
  <si>
    <t>Encounter.hospitalization.dischargeDisposition</t>
  </si>
  <si>
    <t>Encounter.identifier</t>
  </si>
  <si>
    <t>Encounter.location</t>
  </si>
  <si>
    <t>Encounter.participant</t>
  </si>
  <si>
    <t>Encounter.period.end</t>
  </si>
  <si>
    <t>Encounter.period.start</t>
  </si>
  <si>
    <t>Encounter.reasonCode</t>
  </si>
  <si>
    <t>Encounter.serviceProvider</t>
  </si>
  <si>
    <t>Encounter.serviceType</t>
  </si>
  <si>
    <t>Patient.address</t>
  </si>
  <si>
    <t>Patient.address_block</t>
  </si>
  <si>
    <t>Patient.address_city</t>
  </si>
  <si>
    <t>Patient.address_country</t>
  </si>
  <si>
    <t>Patient.address_district</t>
  </si>
  <si>
    <t>Patient.address_line1</t>
  </si>
  <si>
    <t>Patient.address_line2</t>
  </si>
  <si>
    <t>Patient.address_line3</t>
  </si>
  <si>
    <t>Patient.address_prev</t>
  </si>
  <si>
    <t>Patient.address_state</t>
  </si>
  <si>
    <t>Patient.address_zip</t>
  </si>
  <si>
    <t>Patient.birth_date</t>
  </si>
  <si>
    <t>Patient.birth_sex</t>
  </si>
  <si>
    <t>Patient.death_date</t>
  </si>
  <si>
    <t>Patient.email</t>
  </si>
  <si>
    <t>Patient.ethnicity</t>
  </si>
  <si>
    <t>Patient.gender_id</t>
  </si>
  <si>
    <t>Patient.housing_status</t>
  </si>
  <si>
    <t>Patient.language</t>
  </si>
  <si>
    <t>Patient.marital_status</t>
  </si>
  <si>
    <t>Patient.name_first</t>
  </si>
  <si>
    <t>Patient.name_last</t>
  </si>
  <si>
    <t>Patient.name_middle</t>
  </si>
  <si>
    <t>Patient.name_prev</t>
  </si>
  <si>
    <t>Patient.name_suffix</t>
  </si>
  <si>
    <t>Patient.occupation</t>
  </si>
  <si>
    <t>Patient.phone</t>
  </si>
  <si>
    <t>Patient.race</t>
  </si>
  <si>
    <t>Patient.related_person</t>
  </si>
  <si>
    <t>Patient.religion</t>
  </si>
  <si>
    <t>Patient.sexual_orient</t>
  </si>
  <si>
    <t>Patient.ssn</t>
  </si>
  <si>
    <t>Patient.tribal_affil</t>
  </si>
  <si>
    <t>uscdi_element</t>
  </si>
  <si>
    <t>uscdi_description</t>
  </si>
  <si>
    <t>classification</t>
  </si>
  <si>
    <t>ruleset_category</t>
  </si>
  <si>
    <t>domain</t>
  </si>
  <si>
    <t>rollup_relationship</t>
  </si>
  <si>
    <t>is_rollup</t>
  </si>
  <si>
    <t>composite_group</t>
  </si>
  <si>
    <t>data_steward</t>
  </si>
  <si>
    <t>steward_contact</t>
  </si>
  <si>
    <t>schema_version</t>
  </si>
  <si>
    <t>last_modified_date</t>
  </si>
  <si>
    <t>identifier_type</t>
  </si>
  <si>
    <t>identifier_authority</t>
  </si>
  <si>
    <t>hipaa_category</t>
  </si>
  <si>
    <t>fhir_security_label</t>
  </si>
  <si>
    <t>consent_category</t>
  </si>
  <si>
    <t>uscdi_data_class</t>
  </si>
  <si>
    <t>uscdi_data_element</t>
  </si>
  <si>
    <t>First Name</t>
  </si>
  <si>
    <t>Patient's first/given name</t>
  </si>
  <si>
    <t>Master Demographics</t>
  </si>
  <si>
    <t>Static Identity</t>
  </si>
  <si>
    <t>Last Name</t>
  </si>
  <si>
    <t>Patient's last/family name</t>
  </si>
  <si>
    <t>Middle Name</t>
  </si>
  <si>
    <t>Patient's middle name(s)</t>
  </si>
  <si>
    <t>Suffix</t>
  </si>
  <si>
    <t>Name suffix (Jr., Sr., III, etc.)</t>
  </si>
  <si>
    <t>Previous Name</t>
  </si>
  <si>
    <t>Prior legal names</t>
  </si>
  <si>
    <t>Date of Birth</t>
  </si>
  <si>
    <t>Patient's birth date</t>
  </si>
  <si>
    <t>Date of Death</t>
  </si>
  <si>
    <t>Patient's date of death</t>
  </si>
  <si>
    <t>Static Identity (Vital Status)</t>
  </si>
  <si>
    <t>Sex</t>
  </si>
  <si>
    <t>Sex assigned at birth</t>
  </si>
  <si>
    <t>Gender Identity</t>
  </si>
  <si>
    <t>Patient's current gender identity</t>
  </si>
  <si>
    <t>Dynamic Identity</t>
  </si>
  <si>
    <t>Sexual Orientation</t>
  </si>
  <si>
    <t>Patient's sexual orientation</t>
  </si>
  <si>
    <t>Race</t>
  </si>
  <si>
    <t>Patient's race(s)</t>
  </si>
  <si>
    <t>Static/Dynamic Identity</t>
  </si>
  <si>
    <t>Ethnicity</t>
  </si>
  <si>
    <t>Hispanic/Latino ethnicity</t>
  </si>
  <si>
    <t>Preferred Language</t>
  </si>
  <si>
    <t>Patient's preferred language for communication</t>
  </si>
  <si>
    <t>Marital Status</t>
  </si>
  <si>
    <t>Current marital status</t>
  </si>
  <si>
    <t>Religion</t>
  </si>
  <si>
    <t>Religious affiliation</t>
  </si>
  <si>
    <t>Address (Full)</t>
  </si>
  <si>
    <t>Current residential address - all components selected as coherent set</t>
  </si>
  <si>
    <t>Dynamic Contact</t>
  </si>
  <si>
    <t>Address Line 1</t>
  </si>
  <si>
    <t>Street address (primary line)</t>
  </si>
  <si>
    <t>Address Line 2</t>
  </si>
  <si>
    <t>Apartment, suite, unit</t>
  </si>
  <si>
    <t>Address Line 3</t>
  </si>
  <si>
    <t>Additional address detail</t>
  </si>
  <si>
    <t>City</t>
  </si>
  <si>
    <t>City name</t>
  </si>
  <si>
    <t>State</t>
  </si>
  <si>
    <t>State/Province</t>
  </si>
  <si>
    <t>Zip Code</t>
  </si>
  <si>
    <t>ZIP/Postal code</t>
  </si>
  <si>
    <t>Country</t>
  </si>
  <si>
    <t>Census Block</t>
  </si>
  <si>
    <t>Census block-level geography</t>
  </si>
  <si>
    <t>Calculated from Address</t>
  </si>
  <si>
    <t>Board of Supervisors District</t>
  </si>
  <si>
    <t>Political district</t>
  </si>
  <si>
    <t>Previous Address</t>
  </si>
  <si>
    <t>Prior residential addresses</t>
  </si>
  <si>
    <t>Phone Number</t>
  </si>
  <si>
    <t>Contact telephone number(s)</t>
  </si>
  <si>
    <t>Email</t>
  </si>
  <si>
    <t>Email address</t>
  </si>
  <si>
    <t>Social Security Number</t>
  </si>
  <si>
    <t>SSN</t>
  </si>
  <si>
    <t>Related Persons</t>
  </si>
  <si>
    <t>Emergency contacts, next of kin, caregivers</t>
  </si>
  <si>
    <t>Dynamic Relationship</t>
  </si>
  <si>
    <t>Tribal Affiliation</t>
  </si>
  <si>
    <t>Affiliated tribe(s) for AI/AN patients</t>
  </si>
  <si>
    <t>Housing Status</t>
  </si>
  <si>
    <t>Current housing situation (housed, homeless, unstably housed, etc.)</t>
  </si>
  <si>
    <t>Master Patient Attributes</t>
  </si>
  <si>
    <t>Calculated Temporal</t>
  </si>
  <si>
    <t>Occupation</t>
  </si>
  <si>
    <t>Patient's occupation/employment</t>
  </si>
  <si>
    <t>Encounter Class</t>
  </si>
  <si>
    <t>Encounter type (inpatient, outpatient, emergency, etc.)</t>
  </si>
  <si>
    <t>Encounter</t>
  </si>
  <si>
    <t>Encounter Identity</t>
  </si>
  <si>
    <t>Encounter Service Provider</t>
  </si>
  <si>
    <t>Facility or organization providing the encounter</t>
  </si>
  <si>
    <t>Encounter Identifier</t>
  </si>
  <si>
    <t>Unique encounter ID from EMR</t>
  </si>
  <si>
    <t>Encounter Start</t>
  </si>
  <si>
    <t>Encounter start date/time</t>
  </si>
  <si>
    <t>Encounter Timing</t>
  </si>
  <si>
    <t>Encounter End</t>
  </si>
  <si>
    <t>Encounter end date/time</t>
  </si>
  <si>
    <t>Discharge Disposition</t>
  </si>
  <si>
    <t>Discharge disposition code</t>
  </si>
  <si>
    <t>Encounter Reason</t>
  </si>
  <si>
    <t>Reason for encounter / chief complaint</t>
  </si>
  <si>
    <t>Encounter Location</t>
  </si>
  <si>
    <t>Point of care / room / bed</t>
  </si>
  <si>
    <t>Encounter Service Type</t>
  </si>
  <si>
    <t>Service type code</t>
  </si>
  <si>
    <t>Encounter Participant</t>
  </si>
  <si>
    <t>PCP or other participating practitioner</t>
  </si>
  <si>
    <t>Insurance Plan ID</t>
  </si>
  <si>
    <t>Insurance plan identifier</t>
  </si>
  <si>
    <t>Coverage</t>
  </si>
  <si>
    <t>Coverage Identity</t>
  </si>
  <si>
    <t>Payer Name</t>
  </si>
  <si>
    <t>Payer / insurance company name</t>
  </si>
  <si>
    <t>Condition Code</t>
  </si>
  <si>
    <t>Diagnosis code and coding system</t>
  </si>
  <si>
    <t>Condition</t>
  </si>
  <si>
    <t>Condition Identity</t>
  </si>
  <si>
    <t>data_source_rank_reference</t>
  </si>
  <si>
    <t>innovaccer_survivorship_logic</t>
  </si>
  <si>
    <t>data_quality_notes</t>
  </si>
  <si>
    <t>fhir_r4_path</t>
  </si>
  <si>
    <t>fhir_data_type</t>
  </si>
  <si>
    <t>calculation_grain</t>
  </si>
  <si>
    <t>historical_freeze</t>
  </si>
  <si>
    <t>recalc_window_months</t>
  </si>
  <si>
    <t>fhir_must_support</t>
  </si>
  <si>
    <t>fhir_profile</t>
  </si>
  <si>
    <t>fhir_cardinality</t>
  </si>
  <si>
    <t>identity_resolution_notes</t>
  </si>
  <si>
    <t>tie_breaker_rule</t>
  </si>
  <si>
    <t>conflict_detection_enabled</t>
  </si>
  <si>
    <t>manual_override_allowed</t>
  </si>
  <si>
    <t>de_identification_method</t>
  </si>
  <si>
    <t>chi_survivorship_logic</t>
  </si>
  <si>
    <t>Mark's Table 2 (Names)</t>
  </si>
  <si>
    <t>Ask Innovaccer what logic they use to arrive at SBR</t>
  </si>
  <si>
    <t>Ignore Verato anonymous_list entries; PRIORITY: HumanName.use='official' &gt; 'usual', explicitly exclude .use='old'</t>
  </si>
  <si>
    <t>Patient.name.given</t>
  </si>
  <si>
    <t>HumanName.given[0] (string)</t>
  </si>
  <si>
    <t>http://hl7.org/fhir/us/core/StructureDefinition/us-core-patient</t>
  </si>
  <si>
    <t>Most complete (full name &gt; initial), most recent user entry as tiebreaker, ignore anonymous values</t>
  </si>
  <si>
    <t>Patient.name.family</t>
  </si>
  <si>
    <t>HumanName.family (string)</t>
  </si>
  <si>
    <t>Most complete, most recent user entry as tiebreaker, ignore anonymous values</t>
  </si>
  <si>
    <t>Full name beats initial; PRIORITY: HumanName.use='official' &gt; 'usual', explicitly exclude .use='old'</t>
  </si>
  <si>
    <t>HumanName.given[1+] (string array)</t>
  </si>
  <si>
    <t>Complete middle name &gt; initial &gt; null, most recent as tiebreaker</t>
  </si>
  <si>
    <t>Validate consistency with full name</t>
  </si>
  <si>
    <t>Patient.name.suffix</t>
  </si>
  <si>
    <t>HumanName.suffix (0..*)</t>
  </si>
  <si>
    <t>Most recent valid entry, ignore if inconsistent with other name components</t>
  </si>
  <si>
    <t>Support multiple values with date ranges</t>
  </si>
  <si>
    <t>Patient.name (with period.start/end)</t>
  </si>
  <si>
    <t>HumanName with Period (0..*)</t>
  </si>
  <si>
    <t>Maintain all historical names with effective dates, do not overwrite</t>
  </si>
  <si>
    <t>Verato UMPI match field</t>
  </si>
  <si>
    <t>Part of UMPI matching algorithm</t>
  </si>
  <si>
    <t>Patient.birthDate</t>
  </si>
  <si>
    <t>date</t>
  </si>
  <si>
    <t>Most reliable source (birth certificate &gt; government ID &gt; self-report), ignore implausible values</t>
  </si>
  <si>
    <t>MEDS file primary, CMT disposition secondary</t>
  </si>
  <si>
    <t>Critical for EMPI merge blocking; Choice type: can be boolean (deceased=true) OR dateTime; PRIORITY: deceasedDateTime (Mortality File) &gt; deceasedBoolean (hospital discharge)</t>
  </si>
  <si>
    <t>Patient.deceased[x]</t>
  </si>
  <si>
    <t>Choice: deceasedBoolean OR deceasedDateTime</t>
  </si>
  <si>
    <t>Most reliable source (death certificate &gt; vital records &gt; hospital discharge disposition &gt; mortality file), immutable once verified, timestamp required, blocks identity merges with living patients</t>
  </si>
  <si>
    <t>Part of UMPI matching algorithm, only 2 unknown values in expanded population; NOTE: Patient.gender is administrative gender, not birth sex; MAPPING: US Core Birth Sex uses M/F/UNK only - map U or O codes to UNK for validation</t>
  </si>
  <si>
    <t>Patient.extension(us-core-birthsex)</t>
  </si>
  <si>
    <t>Extension ? code (M/F/UNK)</t>
  </si>
  <si>
    <t>http://hl7.org/fhir/us/core/StructureDefinition/us-core-birthsex</t>
  </si>
  <si>
    <t>Most reliable source, medical record &gt; government ID &gt; self-report for clinical purposes</t>
  </si>
  <si>
    <t>Patient-facing sources prioritized</t>
  </si>
  <si>
    <t>Self-report trumps all; US Core v5+ uses Observation for temporal tracking</t>
  </si>
  <si>
    <t>Observation.valueCodeableConcept (LOINC 76691-5)</t>
  </si>
  <si>
    <t>Observation resource (US Core Observation Gender Identity Profile)</t>
  </si>
  <si>
    <t>http://hl7.org/fhir/us/core/StructureDefinition/us-core-observation-social-history</t>
  </si>
  <si>
    <t>Most recent self-reported value, timestamp required, patient preference always wins</t>
  </si>
  <si>
    <t>Self-report trumps all; US Core v5+ uses Observation for temporal tracking and provenance</t>
  </si>
  <si>
    <t>Observation.valueCodeableConcept (LOINC 76690-7)</t>
  </si>
  <si>
    <t>Observation resource (US Core Observation Sexual Orientation Profile)</t>
  </si>
  <si>
    <t>Mark's Table 2 (Race): Highland #1, Alliance #7, Housing #20</t>
  </si>
  <si>
    <t>28 race values; granularity varies by source; Full structure includes ombCategory (5 high-level), detailed (granular), and text; PRIORITY: .extension(detailed) &gt; .extension(ombCategory) when both present; US CORE REQUIREMENT: ombCategory is MANDATORY (1..1), detailed is optional (0..*); Logic: look for detailed first, fallback to ombCategory</t>
  </si>
  <si>
    <t>Patient.extension(us-core-race) [contains .extension(ombCategory) + .extension(detailed) + .extension(text)]</t>
  </si>
  <si>
    <t>Complex Extension: ombCategory (Coding 1..1 REQUIRED), detailed (Coding 0..*), text (string)</t>
  </si>
  <si>
    <t>http://hl7.org/fhir/us/core/StructureDefinition/us-core-race</t>
  </si>
  <si>
    <t>Detailed &gt; high-level (Japanese &gt; Asian), support multiple values, most recent self-report preferred</t>
  </si>
  <si>
    <t>Mark's Table 2 (Ethnicity): Highland #1, Alliance #7, Housing #20</t>
  </si>
  <si>
    <t>7 ethnicity values; Housing has most coverage but less granular; Full structure includes ombCategory (2 high-level), detailed (granular), and text; PRIORITY: .extension(detailed) &gt; .extension(ombCategory) when both present; US CORE REQUIREMENT: ombCategory is MANDATORY (1..1), detailed is optional (0..*); Logic: look for detailed first, fallback to ombCategory</t>
  </si>
  <si>
    <t>Patient.extension(us-core-ethnicity) [contains .extension(ombCategory) + .extension(detailed) + .extension(text)]</t>
  </si>
  <si>
    <t>http://hl7.org/fhir/us/core/StructureDefinition/us-core-ethnicity</t>
  </si>
  <si>
    <t>Most recent self-reported value, detailed &gt; high-level (Mexican &gt; Hispanic or Latino)</t>
  </si>
  <si>
    <t>Mark's Table 2 (Language): Highland #1 (92 languages), St Rose #17</t>
  </si>
  <si>
    <t>112 language values; critical for Mam-speaking population outreach</t>
  </si>
  <si>
    <t>Patient.communication.language</t>
  </si>
  <si>
    <t>CodeableConcept (0..*)</t>
  </si>
  <si>
    <t>Most recent patient-stated preference, timestamp required, clinical context may override; specific language (Japanese) &gt; primary language (English/Spanish)</t>
  </si>
  <si>
    <t>Mark's Table 2 (Marital Status): Marina Wellness #18, Highland #24, Housing lower</t>
  </si>
  <si>
    <t>Ranking aligned with address (both dynamic); skip 'Unknown' in first pass</t>
  </si>
  <si>
    <t>Patient.maritalStatus</t>
  </si>
  <si>
    <t>CodeableConcept</t>
  </si>
  <si>
    <t>Most recent with timestamp, aligned to address ranking (likely to change over time), grouped: Single, Married, Divorced, Other</t>
  </si>
  <si>
    <t>Mark's Table 2 (Religion): Highland #1 (45 religions), St Rose #17, Marina #6</t>
  </si>
  <si>
    <t>53 religion values grouped into 7 categories; many unmapped codes need identification</t>
  </si>
  <si>
    <t>Patient.extension(patient-religion)</t>
  </si>
  <si>
    <t>Extension ? CodeableConcept</t>
  </si>
  <si>
    <t>http://hl7.org/fhir/StructureDefinition/patient-religion</t>
  </si>
  <si>
    <t>Most recent self-reported, specific religion (Catholic) &gt; primary religion (Christian), support multiple affiliations</t>
  </si>
  <si>
    <t>Mark's Table 2 (Address): Physician practices rank 1-23, Hospitals 24-38, Claims data 39-44, Crisis sources 55-58</t>
  </si>
  <si>
    <t>CRITICAL: Address components must come from SAME source record; Payer/claims data 'notoriously outdated'; Crisis services (Falck, Cherry Hill, JG) unreliable; Flag quality tiers; PRIORITY: Address.use='home' preferred, explicitly exclude .use='old'</t>
  </si>
  <si>
    <t>Address (0..*)</t>
  </si>
  <si>
    <t>Most recent with timestamp, COHERENCE REQUIREMENT: (Address Line 1-3 + City + State + Zip + Country) selected together as set from same source/same timestamp, detailed &gt; partial, some data &gt; none</t>
  </si>
  <si>
    <t>See Address Full</t>
  </si>
  <si>
    <t>Required field; skip if missing (incomplete address)</t>
  </si>
  <si>
    <t>Patient.address.line</t>
  </si>
  <si>
    <t>Address.line[0] (string)</t>
  </si>
  <si>
    <t>Part of Address coherence set (see Address Full above)</t>
  </si>
  <si>
    <t>Optional; split from Line 1 if needed</t>
  </si>
  <si>
    <t>Address.line[1] (string)</t>
  </si>
  <si>
    <t>Optional</t>
  </si>
  <si>
    <t>Address.line[2] (string)</t>
  </si>
  <si>
    <t>Data cleaning rules needed; crosswalk from ZIP if missing</t>
  </si>
  <si>
    <t>Patient.address.city</t>
  </si>
  <si>
    <t>Address.city (string)</t>
  </si>
  <si>
    <t>Part of Address coherence set; harmonize city names (if ZIP in range and city resembles 'oak' then 'Oakland')</t>
  </si>
  <si>
    <t>Crosswalk from ZIP if missing</t>
  </si>
  <si>
    <t>Patient.address.state</t>
  </si>
  <si>
    <t>Address.state (string)</t>
  </si>
  <si>
    <t>Part of Address coherence set</t>
  </si>
  <si>
    <t>Data cleaning rules needed</t>
  </si>
  <si>
    <t>Patient.address.postalCode</t>
  </si>
  <si>
    <t>Address.postalCode (string)</t>
  </si>
  <si>
    <t>Part of Address coherence set; harmonize to match city</t>
  </si>
  <si>
    <t>Default to 'USA' for Alameda County records</t>
  </si>
  <si>
    <t>Patient.address.country</t>
  </si>
  <si>
    <t>Address.country (string)</t>
  </si>
  <si>
    <t>N/A - Derived</t>
  </si>
  <si>
    <t>Requires geocoding service; supports neighborhood SDOH analysis</t>
  </si>
  <si>
    <t>Patient.address.extension(geolocation) OR custom extension</t>
  </si>
  <si>
    <t>Extension ? Decimal (lat/long)</t>
  </si>
  <si>
    <t>Derive from Address Full using geocoding; placeholder in Mark's implementation</t>
  </si>
  <si>
    <t>Supports health equity by political geography</t>
  </si>
  <si>
    <t>Patient.address.district</t>
  </si>
  <si>
    <t>Address.district (string)</t>
  </si>
  <si>
    <t>Derive from Address Full using district boundaries; placeholder in Mark's implementation</t>
  </si>
  <si>
    <t>Same as Address Full</t>
  </si>
  <si>
    <t>Support multiple values with date ranges; aids continuity when patients move</t>
  </si>
  <si>
    <t>Patient.address (with period.start/end)</t>
  </si>
  <si>
    <t>Address with Period (0..*)</t>
  </si>
  <si>
    <t>Maintain all with effective date ranges, do not overwrite historical addresses; same coherence requirement as current address</t>
  </si>
  <si>
    <t>Similar to Address ranking</t>
  </si>
  <si>
    <t>Verification status matters; support multiple with type</t>
  </si>
  <si>
    <t>Patient.telecom (system=phone)</t>
  </si>
  <si>
    <t>ContactPoint (0..*)</t>
  </si>
  <si>
    <t>Most recent verified contact, timestamp required, support multiple active numbers with type (mobile/home/work)</t>
  </si>
  <si>
    <t>Format validation; verification status matters</t>
  </si>
  <si>
    <t>Patient.telecom (system=email)</t>
  </si>
  <si>
    <t>Most recent verified contact, timestamp required, validation check for format</t>
  </si>
  <si>
    <t>Government/Medical records primary</t>
  </si>
  <si>
    <t>Format validation; immutability once verified</t>
  </si>
  <si>
    <t>Patient.identifier (system=SSN)</t>
  </si>
  <si>
    <t>Identifier</t>
  </si>
  <si>
    <t>Most reliable source, validation check for format, treat as immutable once verified</t>
  </si>
  <si>
    <t>Support multiple with roles and effective dates</t>
  </si>
  <si>
    <t>Patient.contact OR RelatedPerson resource</t>
  </si>
  <si>
    <t>BackboneElement (0..*) OR separate resource</t>
  </si>
  <si>
    <t>Most recent patient-provided list with timestamps, support multiple active relationships with roles</t>
  </si>
  <si>
    <t>Patient self-report prioritized</t>
  </si>
  <si>
    <t>Support multiple values</t>
  </si>
  <si>
    <t>Patient.extension(us-core-tribal-affiliation)</t>
  </si>
  <si>
    <t>Extension ? Coding (0..*)</t>
  </si>
  <si>
    <t>http://hl7.org/fhir/us/core/StructureDefinition/us-core-tribal-affiliation</t>
  </si>
  <si>
    <t>Self-reported, support multiple affiliations, most recent if changed</t>
  </si>
  <si>
    <t>HMIS authoritative; PopBuilder SQL stored procedures</t>
  </si>
  <si>
    <t>2-3 years stakeholder validation (Mark Feinold); frozen historical months; rolling 2-3 month recompute window; CRITICAL: preserve freeze when UMPI merges</t>
  </si>
  <si>
    <t>Observation.valueCodeableConcept (LOINC 71802-3) OR Patient.extension(custom)</t>
  </si>
  <si>
    <t>Observation resource OR Extension ? CodeableConcept</t>
  </si>
  <si>
    <t>Apply HMIS business rules to enrollment/exit/living situation tables (File 02, 03), monthly freeze logic, AccountID 1000 anchor (Syntranet) or UMPI (DAP); 4,600-8,000 HMIS enrollments processed in 22-40 seconds</t>
  </si>
  <si>
    <t>Case management &gt; self-report</t>
  </si>
  <si>
    <t>SDOH context; temporal considerations</t>
  </si>
  <si>
    <t>Observation.valueCodeableConcept (LOINC 11341-5) OR Patient.extension(us-core-occupation)</t>
  </si>
  <si>
    <t>Most recent self-reported or case management documented value, timestamp required, SDOH context</t>
  </si>
  <si>
    <t>ADT PV1-2 (ET); CMT 99.99% fill</t>
  </si>
  <si>
    <t>code</t>
  </si>
  <si>
    <t>http://hl7.org/fhir/us/core/StructureDefinition/us-core-encounter</t>
  </si>
  <si>
    <t>ADT PV1-4 (FTN) and PV1-3 (FTID)</t>
  </si>
  <si>
    <t>Reference(Organization)</t>
  </si>
  <si>
    <t>ADT PV1-19 (EID); CMT 99.99% fill</t>
  </si>
  <si>
    <t>ADT PV1-44 (EFDT); CMT 99.99% fill</t>
  </si>
  <si>
    <t>dateTime</t>
  </si>
  <si>
    <t>ADT PV1-45 (ELDT); CMT 22.85% fill</t>
  </si>
  <si>
    <t>ADT PV1-36 (DRDC); ingest as received</t>
  </si>
  <si>
    <t>ADT PV2-3 (ER); CMT 8.4% fill</t>
  </si>
  <si>
    <t>ADT PV1-3 (Point of Care Room Bed)</t>
  </si>
  <si>
    <t>BackboneElement</t>
  </si>
  <si>
    <t>ADT PV1-10 (STC); CMT 99.99% fill</t>
  </si>
  <si>
    <t>ADT PD1-4 (PCP); PV1 attending/referring</t>
  </si>
  <si>
    <t>Encounter.participant.actor</t>
  </si>
  <si>
    <t>Reference(Practitioner)</t>
  </si>
  <si>
    <t>ADT IN1-36 (INPID); CMT 99.26% fill</t>
  </si>
  <si>
    <t>http://hl7.org/fhir/us/core/StructureDefinition/us-core-coverage</t>
  </si>
  <si>
    <t>ADT IN1-4 (INCN); CMT 100% fill</t>
  </si>
  <si>
    <t>ADT DG1-2 DG1-3 (PDCS PD PDN)</t>
  </si>
  <si>
    <t>http://hl7.org/fhir/us/core/StructureDefinition/us-core-condition</t>
  </si>
  <si>
    <t>completeness_pct</t>
  </si>
  <si>
    <t>timeliness_sla_hours</t>
  </si>
  <si>
    <t>notes</t>
  </si>
  <si>
    <t>message_format</t>
  </si>
  <si>
    <t>message_type</t>
  </si>
  <si>
    <t>segment_id</t>
  </si>
  <si>
    <t>field_id</t>
  </si>
  <si>
    <t>field_name</t>
  </si>
  <si>
    <t>data_type</t>
  </si>
  <si>
    <t>optionality</t>
  </si>
  <si>
    <t>ADT</t>
  </si>
  <si>
    <t>A08</t>
  </si>
  <si>
    <t>PID</t>
  </si>
  <si>
    <t>PID-3</t>
  </si>
  <si>
    <t>Source Member ID</t>
  </si>
  <si>
    <t>CX</t>
  </si>
  <si>
    <t>R</t>
  </si>
  <si>
    <t>1</t>
  </si>
  <si>
    <t>Patient.identifier</t>
  </si>
  <si>
    <t>MRN/patient identifier in source system</t>
  </si>
  <si>
    <t>Source Member ID Type</t>
  </si>
  <si>
    <t>IS</t>
  </si>
  <si>
    <t>Patient.identifier.type</t>
  </si>
  <si>
    <t>MRN / Patient ID / Subscriber ID</t>
  </si>
  <si>
    <t>PID-5</t>
  </si>
  <si>
    <t>XPN</t>
  </si>
  <si>
    <t>Patient last name</t>
  </si>
  <si>
    <t>Patient first name</t>
  </si>
  <si>
    <t>CMT: 77.53% fill; alphanumeric values observed</t>
  </si>
  <si>
    <t>PID-7</t>
  </si>
  <si>
    <t>Patient Date of Birth</t>
  </si>
  <si>
    <t>TS</t>
  </si>
  <si>
    <t>YYYYMMDD format</t>
  </si>
  <si>
    <t>PID-8</t>
  </si>
  <si>
    <t>Patient Gender code</t>
  </si>
  <si>
    <t>F/M/U</t>
  </si>
  <si>
    <t>PID-10</t>
  </si>
  <si>
    <t>Patient Race Code</t>
  </si>
  <si>
    <t>CE</t>
  </si>
  <si>
    <t>O</t>
  </si>
  <si>
    <t>Patient.extension(us-core-race)</t>
  </si>
  <si>
    <t>CMT: 0% fill</t>
  </si>
  <si>
    <t>Patient Race Name/Description</t>
  </si>
  <si>
    <t>ST</t>
  </si>
  <si>
    <t>PID-11</t>
  </si>
  <si>
    <t>Patient Primary Street Address 1</t>
  </si>
  <si>
    <t>XAD</t>
  </si>
  <si>
    <t>96.44% fill CMT</t>
  </si>
  <si>
    <t>Patient Primary Street Address 2</t>
  </si>
  <si>
    <t>Patient Primary City</t>
  </si>
  <si>
    <t>96.63% fill CMT</t>
  </si>
  <si>
    <t>Patient Primary State code</t>
  </si>
  <si>
    <t>100% fill CMT</t>
  </si>
  <si>
    <t>Patient Primary Zip</t>
  </si>
  <si>
    <t>95.78% fill CMT</t>
  </si>
  <si>
    <t>Patient Primary Country Code</t>
  </si>
  <si>
    <t>CMT: 0% fill; default USA per SYN</t>
  </si>
  <si>
    <t>Patient Primary County code</t>
  </si>
  <si>
    <t>PID-13</t>
  </si>
  <si>
    <t>Patient Primary Telephone</t>
  </si>
  <si>
    <t>XTN</t>
  </si>
  <si>
    <t>Ingest as received; 7/9-digit values observed</t>
  </si>
  <si>
    <t>Patient Primary Email</t>
  </si>
  <si>
    <t>PID-15</t>
  </si>
  <si>
    <t>Patient primary language Code</t>
  </si>
  <si>
    <t>PID-16</t>
  </si>
  <si>
    <t>Patient Marital Status Code</t>
  </si>
  <si>
    <t>Patient Marital Status Name/Description</t>
  </si>
  <si>
    <t>PID-17</t>
  </si>
  <si>
    <t>Patient Religion</t>
  </si>
  <si>
    <t>PID-19</t>
  </si>
  <si>
    <t>Patient SSN</t>
  </si>
  <si>
    <t>PID-22</t>
  </si>
  <si>
    <t>Patient Ethnicity Code</t>
  </si>
  <si>
    <t>Patient.extension(us-core-ethnicity)</t>
  </si>
  <si>
    <t>Patient Ethnicity Name/Description</t>
  </si>
  <si>
    <t>PID-29</t>
  </si>
  <si>
    <t>Patient Date of Death</t>
  </si>
  <si>
    <t>CMT: 0% fill; critical for EMPI</t>
  </si>
  <si>
    <t>PID-30</t>
  </si>
  <si>
    <t>Patient Deceased Flag Code</t>
  </si>
  <si>
    <t>Y/N; CMT: 0% fill</t>
  </si>
  <si>
    <t>PV1</t>
  </si>
  <si>
    <t>PV1-2</t>
  </si>
  <si>
    <t>Encounter Type</t>
  </si>
  <si>
    <t>E/I/O/V; CMT: 99.99% fill</t>
  </si>
  <si>
    <t>PV1-4</t>
  </si>
  <si>
    <t>Facility Name</t>
  </si>
  <si>
    <t>XON</t>
  </si>
  <si>
    <t>Facility where service provided</t>
  </si>
  <si>
    <t>PV1-19</t>
  </si>
  <si>
    <t>Encounter ID</t>
  </si>
  <si>
    <t>EMR encounter ID; CMT: 99.99% fill</t>
  </si>
  <si>
    <t>PV1-44</t>
  </si>
  <si>
    <t>Encounter Start Date</t>
  </si>
  <si>
    <t>CMT: 99.99% fill</t>
  </si>
  <si>
    <t>PV1-45</t>
  </si>
  <si>
    <t>Encounter End Date</t>
  </si>
  <si>
    <t>CMT: 22.85% fill (ongoing encounters)</t>
  </si>
  <si>
    <t>PV1-36</t>
  </si>
  <si>
    <t>Discharge Disposition Code</t>
  </si>
  <si>
    <t>Ingest as received per SYN; CMT: 18.63% fill</t>
  </si>
  <si>
    <t>PV2</t>
  </si>
  <si>
    <t>PV2-3</t>
  </si>
  <si>
    <t>Chief complaint; CMT: 8.4% fill</t>
  </si>
  <si>
    <t>PV1-3</t>
  </si>
  <si>
    <t>Point of Care</t>
  </si>
  <si>
    <t>CMT: 99.67% fill</t>
  </si>
  <si>
    <t>Room</t>
  </si>
  <si>
    <t>CMT: 81.61% fill</t>
  </si>
  <si>
    <t>Bed</t>
  </si>
  <si>
    <t>CMT: 81.42% fill</t>
  </si>
  <si>
    <t>Facility ID</t>
  </si>
  <si>
    <t>HD</t>
  </si>
  <si>
    <t>Facility ID; CMT: 98.73% fill</t>
  </si>
  <si>
    <t>PV1-10</t>
  </si>
  <si>
    <t>Service Type Code</t>
  </si>
  <si>
    <t>PD1</t>
  </si>
  <si>
    <t>PD1-4</t>
  </si>
  <si>
    <t>PCP Id</t>
  </si>
  <si>
    <t>XCN</t>
  </si>
  <si>
    <t>PCP Last Name</t>
  </si>
  <si>
    <t>PCP First Name</t>
  </si>
  <si>
    <t>IN1</t>
  </si>
  <si>
    <t>IN1-36</t>
  </si>
  <si>
    <t>CMT: 99.26% fill</t>
  </si>
  <si>
    <t>IN1-4</t>
  </si>
  <si>
    <t>CMT: 100% fill</t>
  </si>
  <si>
    <t>DG1</t>
  </si>
  <si>
    <t>DG1-2</t>
  </si>
  <si>
    <t>Primary Diagnosis Coding System</t>
  </si>
  <si>
    <t>CMT: 48.37% fill</t>
  </si>
  <si>
    <t>DG1-3</t>
  </si>
  <si>
    <t>Primary Diagnosis code</t>
  </si>
  <si>
    <t>CMT: 48.4% fill</t>
  </si>
  <si>
    <t>Primary Diagnosis Name</t>
  </si>
  <si>
    <t>Condition.code.text</t>
  </si>
  <si>
    <t>CMT: 99.98% fill</t>
  </si>
  <si>
    <t>section_name</t>
  </si>
  <si>
    <t>entry_type</t>
  </si>
  <si>
    <t>xml_path</t>
  </si>
  <si>
    <t>CCD</t>
  </si>
  <si>
    <t>Demographics</t>
  </si>
  <si>
    <t>Patient Name</t>
  </si>
  <si>
    <t>/ClinicalDocument/recordTarget/patientRole/patient/name</t>
  </si>
  <si>
    <t>CCD demographics name (family)</t>
  </si>
  <si>
    <t>/ClinicalDocument/recordTarget/patientRole/patient/birthTime</t>
  </si>
  <si>
    <t>CCD birthTime</t>
  </si>
  <si>
    <t>Participants</t>
  </si>
  <si>
    <t>associatedEntity/associatedPerson/name/given/node()</t>
  </si>
  <si>
    <t>Contact/guarantor first name</t>
  </si>
  <si>
    <t>associatedEntity/associatedPerson/name/family/node()</t>
  </si>
  <si>
    <t>Contact/guarantor last name</t>
  </si>
  <si>
    <t>associatedEntity/addr/streetAddressLine[1]/node()</t>
  </si>
  <si>
    <t>Contact address line 1</t>
  </si>
  <si>
    <t>associatedEntity/addr/streetAddressLine[2]/node()</t>
  </si>
  <si>
    <t>Contact address line 2</t>
  </si>
  <si>
    <t>associatedEntity/addr/city/node()</t>
  </si>
  <si>
    <t>Contact city</t>
  </si>
  <si>
    <t>associatedEntity/addr/state/node()</t>
  </si>
  <si>
    <t>Contact state</t>
  </si>
  <si>
    <t>Zip</t>
  </si>
  <si>
    <t>associatedEntity/addr/postalCode/node()</t>
  </si>
  <si>
    <t>Contact zip</t>
  </si>
  <si>
    <t>associatedEntity/addr/country/node()</t>
  </si>
  <si>
    <t>Contact country</t>
  </si>
  <si>
    <t>Telephone</t>
  </si>
  <si>
    <t>associatedEntity/telecom/@value</t>
  </si>
  <si>
    <t>Contact phone</t>
  </si>
  <si>
    <t>DocumentationOf</t>
  </si>
  <si>
    <t>documentationOf/serviceEvent/performer/assignedEntity/id/@extension</t>
  </si>
  <si>
    <t>PCP / care team performer</t>
  </si>
  <si>
    <t>PCP Id Type</t>
  </si>
  <si>
    <t>serviceEvent/performer/assignedEntity</t>
  </si>
  <si>
    <t>PCP id type</t>
  </si>
  <si>
    <t>Encounters</t>
  </si>
  <si>
    <t>component/section/entry/encounter/effectiveTime</t>
  </si>
  <si>
    <t>Encounter effectiveTime</t>
  </si>
  <si>
    <t>component/section/entry/encounter/code/@code</t>
  </si>
  <si>
    <t>Encounter type code</t>
  </si>
  <si>
    <t>component/section/entry/encounter/id/@extension</t>
  </si>
  <si>
    <t>Encounter id</t>
  </si>
  <si>
    <t>component/section/entry/encounter/code/originalText/reference/@value</t>
  </si>
  <si>
    <t>Reason for visit</t>
  </si>
  <si>
    <t>component/section/entry/encounter/entryRelationship/observation/effectiveTime/high/@value</t>
  </si>
  <si>
    <t>Diagnosis effectiveTime high</t>
  </si>
  <si>
    <t>Place of Service</t>
  </si>
  <si>
    <t>serviceEvent/performer/assignedEntity/code/@displayName</t>
  </si>
  <si>
    <t>Perform location / service type</t>
  </si>
  <si>
    <t>Attending Provider NPI</t>
  </si>
  <si>
    <t>component/section/entry/encounter/participant/assignedEntity/id/@extension</t>
  </si>
  <si>
    <t>Visit provider NPI</t>
  </si>
  <si>
    <t>Diagnosis Code</t>
  </si>
  <si>
    <t>component/section/entry/encounter/entryRelationship/observation/value/@code</t>
  </si>
  <si>
    <t>Encounter diagnosis code</t>
  </si>
  <si>
    <t>Diagnosis Coding System</t>
  </si>
  <si>
    <t>component/section/entry/encounter/entryRelationship/observation/value/@codeSystem</t>
  </si>
  <si>
    <t>Diagnosis code system</t>
  </si>
  <si>
    <t>Diagnosis Name</t>
  </si>
  <si>
    <t>component/section/entry/encounter/entryRelationship/observation/value/originalText/reference/@value</t>
  </si>
  <si>
    <t>Diagnosis description</t>
  </si>
  <si>
    <t>Problems</t>
  </si>
  <si>
    <t>Problem Code</t>
  </si>
  <si>
    <t>section/entry/act/entryRelationship/observation/code/@code</t>
  </si>
  <si>
    <t>Problem list code</t>
  </si>
  <si>
    <t>Problem Description</t>
  </si>
  <si>
    <t>section/entry/act/text/reference/@value</t>
  </si>
  <si>
    <t>Problem description</t>
  </si>
  <si>
    <t>Problem Onset Date</t>
  </si>
  <si>
    <t>section/entry/act/effectiveTime/low/@value</t>
  </si>
  <si>
    <t>Condition.onsetDateTime</t>
  </si>
  <si>
    <t>Problem onset</t>
  </si>
  <si>
    <t>Problem Resolution Date</t>
  </si>
  <si>
    <t>section/entry/act/effectiveTime/high/@value</t>
  </si>
  <si>
    <t>Condition.abatementDateTime</t>
  </si>
  <si>
    <t>Problem resolution</t>
  </si>
  <si>
    <t>Insurance</t>
  </si>
  <si>
    <t>section/entry/act/id/@extension</t>
  </si>
  <si>
    <t>Plan / member id</t>
  </si>
  <si>
    <t>Insurance Plan Name</t>
  </si>
  <si>
    <t>section/entry/act/entryRelationship/act/text/reference/@value</t>
  </si>
  <si>
    <t>Plan name</t>
  </si>
  <si>
    <t>Plan Effective Date</t>
  </si>
  <si>
    <t>section/entry/act/participant[@typeCode='COV']/time/low/@value</t>
  </si>
  <si>
    <t>Coverage.period.start</t>
  </si>
  <si>
    <t>Plan effective</t>
  </si>
  <si>
    <t>Plan Expiration Date</t>
  </si>
  <si>
    <t>section/entry/act/participant[@typeCode='COV']/time/high/@value</t>
  </si>
  <si>
    <t>Coverage.period.end</t>
  </si>
  <si>
    <t>Plan expiration</t>
  </si>
  <si>
    <t>Subscriber ID</t>
  </si>
  <si>
    <t>section/entry/act/participant[@typeCode='COV']/participantRole/id/@extension</t>
  </si>
  <si>
    <t>Coverage.subscriberId</t>
  </si>
  <si>
    <t>Subscriber id</t>
  </si>
  <si>
    <t>Subscriber First Name</t>
  </si>
  <si>
    <t>recordTarget/patientRole/patient/name/given</t>
  </si>
  <si>
    <t>Subscriber first name (from patient role)</t>
  </si>
  <si>
    <t>Subscriber Last Name</t>
  </si>
  <si>
    <t>recordTarget/patientRole/patient/name/family</t>
  </si>
  <si>
    <t>Subscriber last name</t>
  </si>
  <si>
    <t>inventory_scope</t>
  </si>
  <si>
    <t>fhir_version</t>
  </si>
  <si>
    <t>fhir_resource</t>
  </si>
  <si>
    <t>fhir_path</t>
  </si>
  <si>
    <t>fhir_definition</t>
  </si>
  <si>
    <t>standard_reference_url</t>
  </si>
  <si>
    <t>admin_core</t>
  </si>
  <si>
    <t>R5</t>
  </si>
  <si>
    <t>CareTeam</t>
  </si>
  <si>
    <t>CareTeam.category</t>
  </si>
  <si>
    <t>0..*</t>
  </si>
  <si>
    <t>False</t>
  </si>
  <si>
    <t>http://hl7.org/fhir/StructureDefinition/CareTeam</t>
  </si>
  <si>
    <t>Identifies what kind of team.  This is to support differentiation between multiple co-existing teams, such as care plan team, episode of care team, longitudinal care team.</t>
  </si>
  <si>
    <t>CareTeam.contained</t>
  </si>
  <si>
    <t>Resource</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</si>
  <si>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</si>
  <si>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CareTeam.extension</t>
  </si>
  <si>
    <t>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</si>
  <si>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</si>
  <si>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CareTeam.id</t>
  </si>
  <si>
    <t>http://hl7.org/fhirpath/System.String</t>
  </si>
  <si>
    <t>0..1</t>
  </si>
  <si>
    <t>The logical id of the resource, as used in the URL for the resource. Once assigned, this value never changes.</t>
  </si>
  <si>
    <t>CareTeam.identifier</t>
  </si>
  <si>
    <t>Business identifiers assigned to this care team by the performer or other systems which remain constant as the resource is updated and propagates from server to server.</t>
  </si>
  <si>
    <t>CareTeam.implicitRules</t>
  </si>
  <si>
    <t>uri</t>
  </si>
  <si>
    <t>A reference to a set of rules that were followed when the resource was constructed, and which must be understood when processing the content. Often, this is a reference to an implementation guide that defines the special rules along with other profiles etc.</t>
  </si>
  <si>
    <t>CareTeam.language</t>
  </si>
  <si>
    <t>The base language in which the resource is written.</t>
  </si>
  <si>
    <t>CareTeam.managingOrganization</t>
  </si>
  <si>
    <t>The organization responsible for the care team.</t>
  </si>
  <si>
    <t>CareTeam.meta</t>
  </si>
  <si>
    <t>Meta</t>
  </si>
  <si>
    <t>The metadata about the resource. This is content that is maintained by the infrastructure. Changes to the content might not always be associated with version changes to the resource.</t>
  </si>
  <si>
    <t>CareTeam.modifierExtension</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</si>
  <si>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</si>
  <si>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CareTeam.name</t>
  </si>
  <si>
    <t>string</t>
  </si>
  <si>
    <t>A label for human use intended to distinguish like teams.  E.g. the "red" vs. "green" trauma teams.</t>
  </si>
  <si>
    <t>CareTeam.note</t>
  </si>
  <si>
    <t>Annotation</t>
  </si>
  <si>
    <t>Comments made about the CareTeam.</t>
  </si>
  <si>
    <t>CareTeam.participant</t>
  </si>
  <si>
    <t>Identifies all people and organizations who are expected to be involved in the care team.</t>
  </si>
  <si>
    <t>CareTeam.participant.coverage[x]</t>
  </si>
  <si>
    <t>Period</t>
  </si>
  <si>
    <t>When the member is generally available within this care team.</t>
  </si>
  <si>
    <t>CareTeam.participant.extension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</si>
  <si>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</si>
  <si>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CareTeam.participant.id</t>
  </si>
  <si>
    <t>Unique id for the element within a resource (for internal references). This may be any string value that does not contain spaces.</t>
  </si>
  <si>
    <t>CareTeam.participant.member</t>
  </si>
  <si>
    <t>The specific person or organization who is participating/expected to participate in the care team.</t>
  </si>
  <si>
    <t>CareTeam.participant.modifierExtension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</si>
  <si>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</si>
  <si>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CareTeam.participant.onBehalfOf</t>
  </si>
  <si>
    <t>The organization of the practitioner.</t>
  </si>
  <si>
    <t>CareTeam.participant.role</t>
  </si>
  <si>
    <t>Indicates specific responsibility of an individual within the care team, such as "Primary care physician", "Trained social worker counselor", "Caregiver", etc.</t>
  </si>
  <si>
    <t>CareTeam.period</t>
  </si>
  <si>
    <t>Indicates when the team did (or is intended to) come into effect and end.</t>
  </si>
  <si>
    <t>CareTeam.reason</t>
  </si>
  <si>
    <t>CodeableReference</t>
  </si>
  <si>
    <t>Describes why the care team exists.</t>
  </si>
  <si>
    <t>CareTeam.status</t>
  </si>
  <si>
    <t>Indicates the current state of the care team.</t>
  </si>
  <si>
    <t>CareTeam.subject</t>
  </si>
  <si>
    <t>Identifies the patient or group whose intended care is handled by the team.</t>
  </si>
  <si>
    <t>CareTeam.telecom</t>
  </si>
  <si>
    <t>ContactPoint</t>
  </si>
  <si>
    <t>A central contact detail for the care team (that applies to all members).</t>
  </si>
  <si>
    <t>CareTeam.text</t>
  </si>
  <si>
    <t>Narrative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</si>
  <si>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</si>
  <si>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Device</t>
  </si>
  <si>
    <t>Device.availabilityStatus</t>
  </si>
  <si>
    <t>http://hl7.org/fhir/StructureDefinition/Device</t>
  </si>
  <si>
    <t>The availability of the device.</t>
  </si>
  <si>
    <t>Device.biologicalSourceEvent</t>
  </si>
  <si>
    <t>An identifier that supports traceability to the event during which material in this product from one or more biological entities was obtained or pooled.</t>
  </si>
  <si>
    <t>Device.category</t>
  </si>
  <si>
    <t>Devices may be associated with one or more categories.</t>
  </si>
  <si>
    <t>Device.conformsTo</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</si>
  <si>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</si>
  <si>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Device.conformsTo.category</t>
  </si>
  <si>
    <t>Describes the type of the standard, specification, or formal guidance.</t>
  </si>
  <si>
    <t>Device.conformsTo.extension</t>
  </si>
  <si>
    <t>Device.conformsTo.id</t>
  </si>
  <si>
    <t>Device.conformsTo.modifierExtension</t>
  </si>
  <si>
    <t>Device.conformsTo.specification</t>
  </si>
  <si>
    <t>1..1</t>
  </si>
  <si>
    <t>Code that identifies the specific standard, specification, protocol, formal guidance, regulation, legislation, or certification scheme to which the device adheres.</t>
  </si>
  <si>
    <t>Device.conformsTo.version</t>
  </si>
  <si>
    <t>Identifies the specific form or variant of the standard, specification, or formal guidance. This may be a 'version number', release, document edition, publication year, or other label.</t>
  </si>
  <si>
    <t>Device.contact</t>
  </si>
  <si>
    <t>Contact details for an organization or a particular human that is responsible for the device.</t>
  </si>
  <si>
    <t>Device.contained</t>
  </si>
  <si>
    <t>Device.cycle</t>
  </si>
  <si>
    <t>Count</t>
  </si>
  <si>
    <t>The series of occurrences that repeats during the operation of the device.</t>
  </si>
  <si>
    <t>Device.definition</t>
  </si>
  <si>
    <t>The reference to the definition for the device.</t>
  </si>
  <si>
    <t>Device.displayName</t>
  </si>
  <si>
    <t>The name used to display by default when the device is referenced. Based on intent of use by the resource creator, this may reflect one of the names in Device.name, or may be another simple name.</t>
  </si>
  <si>
    <t>Device.duration</t>
  </si>
  <si>
    <t>Duration</t>
  </si>
  <si>
    <t>A measurement of time during the device's operation (e.g., days, hours, mins, etc.).</t>
  </si>
  <si>
    <t>Device.endpoint</t>
  </si>
  <si>
    <t>Technical endpoints providing access to services provided by the device defined at this resource.</t>
  </si>
  <si>
    <t>Device.expirationDate</t>
  </si>
  <si>
    <t>The date and time beyond which this device is no longer valid or should not be used (if applicable).</t>
  </si>
  <si>
    <t>Device.extension</t>
  </si>
  <si>
    <t>Device.gateway</t>
  </si>
  <si>
    <t>The linked device acting as a communication controller, data collector, translator, or concentrator for the current device (e.g., mobile phone application that relays a blood pressure device's data).</t>
  </si>
  <si>
    <t>Device.id</t>
  </si>
  <si>
    <t>Device.identifier</t>
  </si>
  <si>
    <t>Unique instance identifiers assigned to a device by manufacturers other organizations or owners.</t>
  </si>
  <si>
    <t>Device.implicitRules</t>
  </si>
  <si>
    <t>Device.language</t>
  </si>
  <si>
    <t>Device.location</t>
  </si>
  <si>
    <t>The place where the device can be found.</t>
  </si>
  <si>
    <t>Device.lotNumber</t>
  </si>
  <si>
    <t>Lot number assigned by the manufacturer.</t>
  </si>
  <si>
    <t>Device.manufactureDate</t>
  </si>
  <si>
    <t>The date and time when the device was manufactured.</t>
  </si>
  <si>
    <t>Device.manufacturer</t>
  </si>
  <si>
    <t>A name of the manufacturer or entity legally responsible for the device.</t>
  </si>
  <si>
    <t>Device.meta</t>
  </si>
  <si>
    <t>Device.mode</t>
  </si>
  <si>
    <t>The designated condition for performing a task with the device.</t>
  </si>
  <si>
    <t>Device.modelNumber</t>
  </si>
  <si>
    <t>The manufacturer's model number for the device.</t>
  </si>
  <si>
    <t>Device.modifierExtension</t>
  </si>
  <si>
    <t>Device.name</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</si>
  <si>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</si>
  <si>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Device.name.display</t>
  </si>
  <si>
    <t>boolean</t>
  </si>
  <si>
    <t>Indicates the default or preferred name to be displayed.</t>
  </si>
  <si>
    <t>Device.name.extension</t>
  </si>
  <si>
    <t>Device.name.id</t>
  </si>
  <si>
    <t>Device.name.modifierExtension</t>
  </si>
  <si>
    <t>Device.name.type</t>
  </si>
  <si>
    <t>Indicates the kind of name. RegisteredName | UserFriendlyName | PatientReportedName.</t>
  </si>
  <si>
    <t>Device.name.value</t>
  </si>
  <si>
    <t>The actual name that identifies the device.</t>
  </si>
  <si>
    <t>Device.note</t>
  </si>
  <si>
    <t>Descriptive information, usage information or implantation information that is not captured in an existing element.</t>
  </si>
  <si>
    <t>Device.owner</t>
  </si>
  <si>
    <t>An organization that is responsible for the provision and ongoing maintenance of the device.</t>
  </si>
  <si>
    <t>Device.parent</t>
  </si>
  <si>
    <t>The higher level or encompassing device that this device is a logical part of.</t>
  </si>
  <si>
    <t>Device.partNumber</t>
  </si>
  <si>
    <t>The part number or catalog number of the device.</t>
  </si>
  <si>
    <t>Device.property</t>
  </si>
  <si>
    <t>Static or essentially fixed characteristics or features of the device (e.g., time or timing attributes, resolution, accuracy, intended use or instructions for use, and physical attributes) that are not otherwise captured in more specific attributes.</t>
  </si>
  <si>
    <t>Device.property.extension</t>
  </si>
  <si>
    <t>Device.property.id</t>
  </si>
  <si>
    <t>Device.property.modifierExtension</t>
  </si>
  <si>
    <t>Device.property.type</t>
  </si>
  <si>
    <t>Code that specifies the property, such as resolution, color, size, being represented.</t>
  </si>
  <si>
    <t>Device.property.value[x]</t>
  </si>
  <si>
    <t>Quantity</t>
  </si>
  <si>
    <t>The value of the property specified by the associated property.type code.</t>
  </si>
  <si>
    <t>Device.safety</t>
  </si>
  <si>
    <t>Provides additional safety characteristics about a medical device.  For example devices containing latex.</t>
  </si>
  <si>
    <t>Device.serialNumber</t>
  </si>
  <si>
    <t>The serial number assigned by the organization when the device was manufactured.</t>
  </si>
  <si>
    <t>Device.status</t>
  </si>
  <si>
    <t>The Device record status. This is not the status of the device like availability.</t>
  </si>
  <si>
    <t>Device.text</t>
  </si>
  <si>
    <t>Device.type</t>
  </si>
  <si>
    <t>The kind or type of device. A device instance may have more than one type - in which case those are the types that apply to the specific instance of the device.</t>
  </si>
  <si>
    <t>Device.udiCarrier</t>
  </si>
  <si>
    <t>Unique device identifier (UDI) assigned to device label or package.  Note that the Device may include multiple udiCarriers as it either may include just the udiCarrier for the jurisdiction it is sold, or for multiple jurisdictions it could have been sold.</t>
  </si>
  <si>
    <t>Device.udiCarrier.carrierAIDC</t>
  </si>
  <si>
    <t>base64Binary</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</si>
  <si>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</si>
  <si>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Device.udiCarrier.carrierHRF</t>
  </si>
  <si>
    <t>The full UDI carrier as the human readable form (HRF) representation of the barcode string as printed on the packaging of the device.</t>
  </si>
  <si>
    <t>Device.udiCarrier.deviceIdentifier</t>
  </si>
  <si>
    <t>The device identifier (DI) is a mandatory, fixed portion of a UDI that identifies the labeler and the specific version or model of a device.</t>
  </si>
  <si>
    <t>Device.udiCarrier.entryType</t>
  </si>
  <si>
    <t>A coded entry to indicate how the data was entered.</t>
  </si>
  <si>
    <t>Device.udiCarrier.extension</t>
  </si>
  <si>
    <t>Device.udiCarrier.id</t>
  </si>
  <si>
    <t>Device.udiCarrier.issuer</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</si>
  <si>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</si>
  <si>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Device.udiCarrier.jurisdiction</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</si>
  <si>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</si>
  <si>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Device.udiCarrier.modifierExtension</t>
  </si>
  <si>
    <t>Device.url</t>
  </si>
  <si>
    <t>A network address on which the device may be contacted directly.</t>
  </si>
  <si>
    <t>Device.version</t>
  </si>
  <si>
    <t>The actual design of the device or software version running on the device.</t>
  </si>
  <si>
    <t>Device.version.component</t>
  </si>
  <si>
    <t>The hardware or software module of the device to which the version applies.</t>
  </si>
  <si>
    <t>Device.version.extension</t>
  </si>
  <si>
    <t>Device.version.id</t>
  </si>
  <si>
    <t>Device.version.installDate</t>
  </si>
  <si>
    <t>The date the version was installed on the device.</t>
  </si>
  <si>
    <t>Device.version.modifierExtension</t>
  </si>
  <si>
    <t>Device.version.type</t>
  </si>
  <si>
    <t>The type of the device version, e.g. manufacturer, approved, internal.</t>
  </si>
  <si>
    <t>Device.version.value</t>
  </si>
  <si>
    <t>The version text.</t>
  </si>
  <si>
    <t>HealthcareService</t>
  </si>
  <si>
    <t>HealthcareService.active</t>
  </si>
  <si>
    <t>http://hl7.org/fhir/StructureDefinition/HealthcareService</t>
  </si>
  <si>
    <t>This flag is used to mark the record to not be used. This is not used when a center is closed for maintenance, or for holidays, the notAvailable period is to be used for this.</t>
  </si>
  <si>
    <t>HealthcareService.appointmentRequired</t>
  </si>
  <si>
    <t>Indicates whether or not a prospective consumer will require an appointment for a particular service at a site to be provided by the Organization. Indicates if an appointment is required for access to this service.</t>
  </si>
  <si>
    <t>HealthcareService.availability</t>
  </si>
  <si>
    <t>Availability</t>
  </si>
  <si>
    <t>A collection of times that the healthcare service is available.</t>
  </si>
  <si>
    <t>HealthcareService.category</t>
  </si>
  <si>
    <t>Identifies the broad category of service being performed or delivered.</t>
  </si>
  <si>
    <t>HealthcareService.characteristic</t>
  </si>
  <si>
    <t>Collection of characteristics (attributes).</t>
  </si>
  <si>
    <t>HealthcareService.comment</t>
  </si>
  <si>
    <t>markdown</t>
  </si>
  <si>
    <t>Any additional description of the service and/or any specific issues not covered by the other attributes, which can be displayed as further detail under the serviceName.</t>
  </si>
  <si>
    <t>HealthcareService.communication</t>
  </si>
  <si>
    <t>Some services are specifically made available in multiple languages, this property permits a directory to declare the languages this is offered in. Typically this is only provided where a service operates in communities with mixed languages used.</t>
  </si>
  <si>
    <t>HealthcareService.contact</t>
  </si>
  <si>
    <t>ExtendedContactDetail</t>
  </si>
  <si>
    <t>The contact details of communication devices available relevant to the specific HealthcareService. This can include addresses, phone numbers, fax numbers, mobile numbers, email addresses and web sites.</t>
  </si>
  <si>
    <t>HealthcareService.contained</t>
  </si>
  <si>
    <t>HealthcareService.coverageArea</t>
  </si>
  <si>
    <t>The location(s) that this service is available to (not where the service is provided).</t>
  </si>
  <si>
    <t>HealthcareService.eligibility</t>
  </si>
  <si>
    <t>Does this service have specific eligibility requirements that need to be met in order to use the service?</t>
  </si>
  <si>
    <t>HealthcareService.eligibility.code</t>
  </si>
  <si>
    <t>Coded value for the eligibility.</t>
  </si>
  <si>
    <t>HealthcareService.eligibility.comment</t>
  </si>
  <si>
    <t>Describes the eligibility conditions for the service.</t>
  </si>
  <si>
    <t>HealthcareService.eligibility.extension</t>
  </si>
  <si>
    <t>HealthcareService.eligibility.id</t>
  </si>
  <si>
    <t>HealthcareService.eligibility.modifierExtension</t>
  </si>
  <si>
    <t>HealthcareService.endpoint</t>
  </si>
  <si>
    <t>Technical endpoints providing access to services operated for the specific healthcare services defined at this resource.</t>
  </si>
  <si>
    <t>HealthcareService.extension</t>
  </si>
  <si>
    <t>HealthcareService.extraDetails</t>
  </si>
  <si>
    <t>Extra details about the service that can't be placed in the other fields.</t>
  </si>
  <si>
    <t>HealthcareService.id</t>
  </si>
  <si>
    <t>HealthcareService.identifier</t>
  </si>
  <si>
    <t>External identifiers for this item.</t>
  </si>
  <si>
    <t>HealthcareService.implicitRules</t>
  </si>
  <si>
    <t>HealthcareService.language</t>
  </si>
  <si>
    <t>HealthcareService.location</t>
  </si>
  <si>
    <t>The location(s) where this healthcare service may be provided.</t>
  </si>
  <si>
    <t>HealthcareService.meta</t>
  </si>
  <si>
    <t>HealthcareService.modifierExtension</t>
  </si>
  <si>
    <t>HealthcareService.name</t>
  </si>
  <si>
    <t>Further description of the service as it would be presented to a consumer while searching.</t>
  </si>
  <si>
    <t>HealthcareService.offeredIn</t>
  </si>
  <si>
    <t>When the HealthcareService is representing a specific, schedulable service, the availableIn property can refer to a generic service.</t>
  </si>
  <si>
    <t>HealthcareService.photo</t>
  </si>
  <si>
    <t>Attachment</t>
  </si>
  <si>
    <t>If there is a photo/symbol associated with this HealthcareService, it may be included here to facilitate quick identification of the service in a list.</t>
  </si>
  <si>
    <t>HealthcareService.program</t>
  </si>
  <si>
    <t>Programs that this service is applicable to.</t>
  </si>
  <si>
    <t>HealthcareService.providedBy</t>
  </si>
  <si>
    <t>The organization that provides this healthcare service.</t>
  </si>
  <si>
    <t>HealthcareService.referralMethod</t>
  </si>
  <si>
    <t>Ways that the service accepts referrals, if this is not provided then it is implied that no referral is required.</t>
  </si>
  <si>
    <t>HealthcareService.serviceProvisionCode</t>
  </si>
  <si>
    <t>The code(s) that detail the conditions under which the healthcare service is available/offered.</t>
  </si>
  <si>
    <t>HealthcareService.specialty</t>
  </si>
  <si>
    <t>Collection of specialties handled by the Healthcare service. This is more of a medical term.</t>
  </si>
  <si>
    <t>HealthcareService.text</t>
  </si>
  <si>
    <t>HealthcareService.type</t>
  </si>
  <si>
    <t>The specific type of service that may be delivered or performed.</t>
  </si>
  <si>
    <t>Location</t>
  </si>
  <si>
    <t>Location.address</t>
  </si>
  <si>
    <t>Address</t>
  </si>
  <si>
    <t>http://hl7.org/fhir/StructureDefinition/Location</t>
  </si>
  <si>
    <t>Physical location.</t>
  </si>
  <si>
    <t>Location.alias</t>
  </si>
  <si>
    <t>A list of alternate names that the location is known as, or was known as, in the past.</t>
  </si>
  <si>
    <t>Location.characteristic</t>
  </si>
  <si>
    <t>Location.contact</t>
  </si>
  <si>
    <t>The contact details of communication devices available at the location. This can include addresses, phone numbers, fax numbers, mobile numbers, email addresses and web sites.</t>
  </si>
  <si>
    <t>Location.contained</t>
  </si>
  <si>
    <t>Location.description</t>
  </si>
  <si>
    <t>Description of the Location, which helps in finding or referencing the place.</t>
  </si>
  <si>
    <t>Location.endpoint</t>
  </si>
  <si>
    <t>Technical endpoints providing access to services operated for the location.</t>
  </si>
  <si>
    <t>Location.extension</t>
  </si>
  <si>
    <t>Location.form</t>
  </si>
  <si>
    <t>Physical form of the location, e.g. building, room, vehicle, road, virtual.</t>
  </si>
  <si>
    <t>Location.hoursOfOperation</t>
  </si>
  <si>
    <t>What days/times during a week is this location usually open, and any exceptions where the location is not available.</t>
  </si>
  <si>
    <t>Location.id</t>
  </si>
  <si>
    <t>Location.identifier</t>
  </si>
  <si>
    <t>Unique code or number identifying the location to its users.</t>
  </si>
  <si>
    <t>Location.implicitRules</t>
  </si>
  <si>
    <t>Location.language</t>
  </si>
  <si>
    <t>Location.managingOrganization</t>
  </si>
  <si>
    <t>The organization responsible for the provisioning and upkeep of the location.</t>
  </si>
  <si>
    <t>Location.meta</t>
  </si>
  <si>
    <t>Location.mode</t>
  </si>
  <si>
    <t>Indicates whether a resource instance represents a specific location or a class of locations.</t>
  </si>
  <si>
    <t>Location.modifierExtension</t>
  </si>
  <si>
    <t>Location.name</t>
  </si>
  <si>
    <t>Name of the location as used by humans. Does not need to be unique.</t>
  </si>
  <si>
    <t>Location.operationalStatus</t>
  </si>
  <si>
    <t>Coding</t>
  </si>
  <si>
    <t>The operational status covers operation values most relevant to beds (but can also apply to rooms/units/chairs/etc. such as an isolation unit/dialysis chair). This typically covers concepts such as contamination, housekeeping, and other activities like maintenance.</t>
  </si>
  <si>
    <t>Location.partOf</t>
  </si>
  <si>
    <t>Another Location of which this Location is physically a part of.</t>
  </si>
  <si>
    <t>Location.position</t>
  </si>
  <si>
    <t>The absolute geographic location of the Location, expressed using the WGS84 datum (This is the same co-ordinate system used in KML).</t>
  </si>
  <si>
    <t>Location.position.altitude</t>
  </si>
  <si>
    <t>decimal</t>
  </si>
  <si>
    <t>Altitude. The value domain and the interpretation are the same as for the text of the altitude element in KML (see notes on Location main page).</t>
  </si>
  <si>
    <t>Location.position.extension</t>
  </si>
  <si>
    <t>Location.position.id</t>
  </si>
  <si>
    <t>Location.position.latitude</t>
  </si>
  <si>
    <t>Latitude. The value domain and the interpretation are the same as for the text of the latitude element in KML (see notes on Location main page).</t>
  </si>
  <si>
    <t>Location.position.longitude</t>
  </si>
  <si>
    <t>Longitude. The value domain and the interpretation are the same as for the text of the longitude element in KML (see notes on Location main page).</t>
  </si>
  <si>
    <t>Location.position.modifierExtension</t>
  </si>
  <si>
    <t>Location.status</t>
  </si>
  <si>
    <t>The status property covers the general availability of the resource, not the current value which may be covered by the operationStatus, or by a schedule/slots if they are configured for the location.</t>
  </si>
  <si>
    <t>Location.text</t>
  </si>
  <si>
    <t>Location.type</t>
  </si>
  <si>
    <t>Indicates the type of function performed at the location.</t>
  </si>
  <si>
    <t>Location.virtualService</t>
  </si>
  <si>
    <t>VirtualServiceDetail</t>
  </si>
  <si>
    <t>Connection details of a virtual service (e.g. shared conference call facility with dedicated number/details).</t>
  </si>
  <si>
    <t>Organization</t>
  </si>
  <si>
    <t>Organization.active</t>
  </si>
  <si>
    <t>http://hl7.org/fhir/StructureDefinition/Organization</t>
  </si>
  <si>
    <t>Whether the organization's record is still in active use.</t>
  </si>
  <si>
    <t>Organization.alias</t>
  </si>
  <si>
    <t>A list of alternate names that the organization is known as, or was known as in the past.</t>
  </si>
  <si>
    <t>Organization.contact</t>
  </si>
  <si>
    <t>The contact details of communication devices available relevant to the specific Organization. This can include addresses, phone numbers, fax numbers, mobile numbers, email addresses and web sites.</t>
  </si>
  <si>
    <t>Organization.contained</t>
  </si>
  <si>
    <t>Organization.description</t>
  </si>
  <si>
    <t>Description of the organization, which helps provide additional general context on the organization to ensure that the correct organization is selected.</t>
  </si>
  <si>
    <t>Organization.endpoint</t>
  </si>
  <si>
    <t>Technical endpoints providing access to services operated for the organization.</t>
  </si>
  <si>
    <t>Organization.extension</t>
  </si>
  <si>
    <t>Organization.id</t>
  </si>
  <si>
    <t>Organization.identifier</t>
  </si>
  <si>
    <t>Identifier for the organization that is used to identify the organization across multiple disparate systems.</t>
  </si>
  <si>
    <t>Organization.implicitRules</t>
  </si>
  <si>
    <t>Organization.language</t>
  </si>
  <si>
    <t>Organization.meta</t>
  </si>
  <si>
    <t>Organization.modifierExtension</t>
  </si>
  <si>
    <t>Organization.name</t>
  </si>
  <si>
    <t>A name associated with the organization.</t>
  </si>
  <si>
    <t>Organization.partOf</t>
  </si>
  <si>
    <t>The organization of which this organization forms a part.</t>
  </si>
  <si>
    <t>Organization.qualification</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</si>
  <si>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</si>
  <si>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Organization.qualification.code</t>
  </si>
  <si>
    <t>Coded representation of the qualification.</t>
  </si>
  <si>
    <t>Organization.qualification.extension</t>
  </si>
  <si>
    <t>Organization.qualification.id</t>
  </si>
  <si>
    <t>Organization.qualification.identifier</t>
  </si>
  <si>
    <t>An identifier allocated to this qualification for this organization.</t>
  </si>
  <si>
    <t>Organization.qualification.issuer</t>
  </si>
  <si>
    <t>Organization that regulates and issues the qualification.</t>
  </si>
  <si>
    <t>Organization.qualification.modifierExtension</t>
  </si>
  <si>
    <t>Organization.qualification.period</t>
  </si>
  <si>
    <t>Period during which the qualification is valid.</t>
  </si>
  <si>
    <t>Organization.text</t>
  </si>
  <si>
    <t>Organization.type</t>
  </si>
  <si>
    <t>The kind(s) of organization that this is.</t>
  </si>
  <si>
    <t>Patient</t>
  </si>
  <si>
    <t>Patient.active</t>
  </si>
  <si>
    <t>http://hl7.org/fhir/StructureDefinition/Patient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</si>
  <si>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</si>
  <si>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An address for the individual.</t>
  </si>
  <si>
    <t>The date of birth for the individual.</t>
  </si>
  <si>
    <t>Patient.communication</t>
  </si>
  <si>
    <t>A language which may be used to communicate with the patient about his or her health.</t>
  </si>
  <si>
    <t>Patient.communication.extension</t>
  </si>
  <si>
    <t>Patient.communication.id</t>
  </si>
  <si>
    <t>The ISO-639-1 alpha 2 code in lower case for the language, optionally followed by a hyphen and the ISO-3166-1 alpha 2 code for the region in upper case; e.g. "en" for English, or "en-US" for American English versus "en-AU" for Australian English.</t>
  </si>
  <si>
    <t>Patient.communication.modifierExtension</t>
  </si>
  <si>
    <t>Patient.communication.preferred</t>
  </si>
  <si>
    <t>Indicates whether or not the patient prefers this language (over other languages he masters up a certain level).</t>
  </si>
  <si>
    <t>Patient.contact</t>
  </si>
  <si>
    <t>A contact party (e.g. guardian, partner, friend) for the patient.</t>
  </si>
  <si>
    <t>Patient.contact.address</t>
  </si>
  <si>
    <t>Address for the contact person.</t>
  </si>
  <si>
    <t>Patient.contact.extension</t>
  </si>
  <si>
    <t>Patient.contact.gender</t>
  </si>
  <si>
    <t>Administrative Gender - the gender that the contact person is considered to have for administration and record keeping purposes.</t>
  </si>
  <si>
    <t>Patient.contact.id</t>
  </si>
  <si>
    <t>Patient.contact.modifierExtension</t>
  </si>
  <si>
    <t>Patient.contact.name</t>
  </si>
  <si>
    <t>HumanName</t>
  </si>
  <si>
    <t>A name associated with the contact person.</t>
  </si>
  <si>
    <t>Patient.contact.organization</t>
  </si>
  <si>
    <t>Organization on behalf of which the contact is acting or for which the contact is working.</t>
  </si>
  <si>
    <t>Patient.contact.period</t>
  </si>
  <si>
    <t>The period during which this contact person or organization is valid to be contacted relating to this patient.</t>
  </si>
  <si>
    <t>Patient.contact.relationship</t>
  </si>
  <si>
    <t>The nature of the relationship between the patient and the contact person.</t>
  </si>
  <si>
    <t>Patient.contact.telecom</t>
  </si>
  <si>
    <t>A contact detail for the person, e.g. a telephone number or an email address.</t>
  </si>
  <si>
    <t>Patient.contained</t>
  </si>
  <si>
    <t>Indicates if the individual is deceased or not.</t>
  </si>
  <si>
    <t>Patient.extension</t>
  </si>
  <si>
    <t>Patient.gender</t>
  </si>
  <si>
    <t>Administrative Gender - the gender that the patient is considered to have for administration and record keeping purposes.</t>
  </si>
  <si>
    <t>Patient.generalPractitioner</t>
  </si>
  <si>
    <t>Patient's nominated care provider.</t>
  </si>
  <si>
    <t>Patient.id</t>
  </si>
  <si>
    <t>An identifier for this patient.</t>
  </si>
  <si>
    <t>Patient.implicitRules</t>
  </si>
  <si>
    <t>Patient.link</t>
  </si>
  <si>
    <t>Link to a Patient or RelatedPerson resource that concerns the same actual individual.</t>
  </si>
  <si>
    <t>Patient.link.extension</t>
  </si>
  <si>
    <t>Patient.link.id</t>
  </si>
  <si>
    <t>Patient.link.modifierExtension</t>
  </si>
  <si>
    <t>Patient.link.other</t>
  </si>
  <si>
    <t>Patient.link.type</t>
  </si>
  <si>
    <t>The type of link between this patient resource and another patient resource.</t>
  </si>
  <si>
    <t>Patient.managingOrganization</t>
  </si>
  <si>
    <t>Organization that is the custodian of the patient record.</t>
  </si>
  <si>
    <t>This field contains a patient's most recent marital (civil) status.</t>
  </si>
  <si>
    <t>Patient.meta</t>
  </si>
  <si>
    <t>Patient.modifierExtension</t>
  </si>
  <si>
    <t>Patient.multipleBirth[x]</t>
  </si>
  <si>
    <t>Indicates whether the patient is part of a multiple (boolean) or indicates the actual birth order (integer).</t>
  </si>
  <si>
    <t>Patient.name</t>
  </si>
  <si>
    <t>A name associated with the individual.</t>
  </si>
  <si>
    <t>Patient.photo</t>
  </si>
  <si>
    <t>Image of the patient.</t>
  </si>
  <si>
    <t>Patient.telecom</t>
  </si>
  <si>
    <t>A contact detail (e.g. a telephone number or an email address) by which the individual may be contacted.</t>
  </si>
  <si>
    <t>Patient.text</t>
  </si>
  <si>
    <t>Practitioner</t>
  </si>
  <si>
    <t>Practitioner.active</t>
  </si>
  <si>
    <t>http://hl7.org/fhir/StructureDefinition/Practitioner</t>
  </si>
  <si>
    <t>Whether this practitioner's record is in active use.</t>
  </si>
  <si>
    <t>Practitioner.address</t>
  </si>
  <si>
    <t>Address(es) of the practitioner that are not role specific (typically home address). 
Work addresses are not typically entered in this property as they are usually role dependent.</t>
  </si>
  <si>
    <t>Practitioner.birthDate</t>
  </si>
  <si>
    <t>The date of birth for the practitioner.</t>
  </si>
  <si>
    <t>Practitioner.communication</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</si>
  <si>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</si>
  <si>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Practitioner.communication.extension</t>
  </si>
  <si>
    <t>Practitioner.communication.id</t>
  </si>
  <si>
    <t>Practitioner.communication.language</t>
  </si>
  <si>
    <t>Practitioner.communication.modifierExtension</t>
  </si>
  <si>
    <t>Practitioner.communication.preferred</t>
  </si>
  <si>
    <t>Indicates whether or not the person prefers this language (over other languages he masters up a certain level).</t>
  </si>
  <si>
    <t>Practitioner.contained</t>
  </si>
  <si>
    <t>Practitioner.deceased[x]</t>
  </si>
  <si>
    <t>Indicates if the practitioner is deceased or not.</t>
  </si>
  <si>
    <t>Practitioner.extension</t>
  </si>
  <si>
    <t>Practitioner.gender</t>
  </si>
  <si>
    <t>Administrative Gender - the gender that the person is considered to have for administration and record keeping purposes.</t>
  </si>
  <si>
    <t>Practitioner.id</t>
  </si>
  <si>
    <t>Practitioner.identifier</t>
  </si>
  <si>
    <t>An identifier that applies to this person in this role.</t>
  </si>
  <si>
    <t>Practitioner.implicitRules</t>
  </si>
  <si>
    <t>Practitioner.language</t>
  </si>
  <si>
    <t>Practitioner.meta</t>
  </si>
  <si>
    <t>Practitioner.modifierExtension</t>
  </si>
  <si>
    <t>Practitioner.name</t>
  </si>
  <si>
    <t>The name(s) associated with the practitioner.</t>
  </si>
  <si>
    <t>Practitioner.photo</t>
  </si>
  <si>
    <t>Image of the person.</t>
  </si>
  <si>
    <t>Practitioner.qualification</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</si>
  <si>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</si>
  <si>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Practitioner.qualification.code</t>
  </si>
  <si>
    <t>Practitioner.qualification.extension</t>
  </si>
  <si>
    <t>Practitioner.qualification.id</t>
  </si>
  <si>
    <t>Practitioner.qualification.identifier</t>
  </si>
  <si>
    <t>An identifier that applies to this person's qualification.</t>
  </si>
  <si>
    <t>Practitioner.qualification.issuer</t>
  </si>
  <si>
    <t>Practitioner.qualification.modifierExtension</t>
  </si>
  <si>
    <t>Practitioner.qualification.period</t>
  </si>
  <si>
    <t>Practitioner.telecom</t>
  </si>
  <si>
    <t>A contact detail for the practitioner, e.g. a telephone number or an email address.</t>
  </si>
  <si>
    <t>Practitioner.text</t>
  </si>
  <si>
    <t>rule_id</t>
  </si>
  <si>
    <t>standard_scope</t>
  </si>
  <si>
    <t>rule_name</t>
  </si>
  <si>
    <t>rule_type</t>
  </si>
  <si>
    <t>rule_expression</t>
  </si>
  <si>
    <t>severity</t>
  </si>
  <si>
    <t>active</t>
  </si>
  <si>
    <t>owner</t>
  </si>
  <si>
    <t>true</t>
  </si>
  <si>
    <t>source_name</t>
  </si>
  <si>
    <t>organization</t>
  </si>
  <si>
    <t>delivery_format</t>
  </si>
  <si>
    <t>Populate source metadata for steward reference.</t>
  </si>
  <si>
    <t>steward_assigned_to</t>
  </si>
  <si>
    <t>steward_action_notes</t>
  </si>
  <si>
    <t>reviewer_notes</t>
  </si>
  <si>
    <t>priority</t>
  </si>
  <si>
    <t>queue_type</t>
  </si>
  <si>
    <t>next_action</t>
  </si>
  <si>
    <t>POC</t>
  </si>
  <si>
    <t>demographics_pilot</t>
  </si>
  <si>
    <t>Set approval_status in Catalog; confirm survivorship in Dictionary.</t>
  </si>
  <si>
    <t>Concept Explorer</t>
  </si>
  <si>
    <t>Change semantic_id in B3 to preview a concept. Source rows show the first linked source; see Source_Availability for the full list.</t>
  </si>
  <si>
    <t>Field</t>
  </si>
  <si>
    <t>Value</t>
  </si>
  <si>
    <t>USCDI element</t>
  </si>
  <si>
    <t>USCDI description</t>
  </si>
  <si>
    <t>Classification</t>
  </si>
  <si>
    <t>Data steward</t>
  </si>
  <si>
    <t>Approval status</t>
  </si>
  <si>
    <t>FHIR R4 path</t>
  </si>
  <si>
    <t>CHI survivorship logic</t>
  </si>
  <si>
    <t>Data source rank</t>
  </si>
  <si>
    <t>Primary source (first link)</t>
  </si>
  <si>
    <t>Source availability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</si>
</sst>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Calibri"/>
    </font>
    <font>
      <b/>
      <sz val="11"/>
      <color rgb="FFFFFFFF"/>
      <name val="Calibri"/>
    </font>
    <font>
      <b/>
      <sz val="11"/>
      <name val="Calibri"/>
    </font>
    <font>
      <b/>
      <sz val="11"/>
      <color rgb="FFFFFFFF"/>
      <name val="Calibri"/>
      <family val="2"/>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0" fillId="0" borderId="0" xfId="0" applyAlignment="1">
      <alignment vertical="top" wrapText="1"/>
    </xf>
    <xf numFmtId="0" fontId="3" fillId="4" borderId="0" xfId="0" applyFont="1" applyFill="1" applyAlignment="1">
      <alignment vertical="top" wrapText="1"/>
    </xf>
    <xf numFmtId="0" fontId="2" fillId="3" borderId="0" xfId="0" applyFont="1" applyFill="1" applyAlignment="1">
      <alignment vertical="top" wrapText="1"/>
    </xf>
    <xf numFmtId="0" fontId="1" fillId="0" borderId="0" xfId="0" applyFont="1"/>
    <xf numFmtId="0" fontId="3" fillId="0" borderId="0" xfId="0" applyFont="1"/>
    <xf numFmtId="0" fontId="4" fillId="3"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hi_table_index" displayName="chi_table_index" ref="A1:D13">
  <autoFilter ref="A1:D13" xr:uid="{00000000-0009-0000-0100-000001000000}"/>
  <tableColumns count="4">
    <tableColumn id="1" xr3:uid="{00000000-0010-0000-0000-000001000000}" name="excel_table_name"/>
    <tableColumn id="2" xr3:uid="{00000000-0010-0000-0000-000002000000}" name="sheet_tab"/>
    <tableColumn id="3" xr3:uid="{00000000-0010-0000-0000-000003000000}" name="parquet_or_role"/>
    <tableColumn id="4" xr3:uid="{00000000-0010-0000-0000-000004000000}" name="rol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i_lookup_lists" displayName="chi_lookup_lists" ref="A1:F47">
  <autoFilter ref="A1:F47" xr:uid="{00000000-0009-0000-0100-000002000000}"/>
  <tableColumns count="6">
    <tableColumn id="1" xr3:uid="{00000000-0010-0000-0100-000001000000}" name="semantic_id"/>
    <tableColumn id="2" xr3:uid="{00000000-0010-0000-0100-000002000000}" name="source_id"/>
    <tableColumn id="3" xr3:uid="{00000000-0010-0000-0100-000003000000}" name="mapping_status"/>
    <tableColumn id="4" xr3:uid="{00000000-0010-0000-0100-000004000000}" name="approval_status"/>
    <tableColumn id="5" xr3:uid="{00000000-0010-0000-0100-000005000000}" name="availability"/>
    <tableColumn id="6" xr3:uid="{00000000-0010-0000-0100-000006000000}" name="curation_statu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hi_catalog" displayName="chi_catalog" ref="A1:U47">
  <autoFilter ref="A1:U47" xr:uid="{00000000-0009-0000-0100-000003000000}"/>
  <tableColumns count="21">
    <tableColumn id="1" xr3:uid="{00000000-0010-0000-0200-000001000000}" name="semantic_id"/>
    <tableColumn id="2" xr3:uid="{00000000-0010-0000-0200-000002000000}" name="uscdi_element"/>
    <tableColumn id="3" xr3:uid="{00000000-0010-0000-0200-000003000000}" name="uscdi_description"/>
    <tableColumn id="4" xr3:uid="{00000000-0010-0000-0200-000004000000}" name="classification"/>
    <tableColumn id="5" xr3:uid="{00000000-0010-0000-0200-000005000000}" name="ruleset_category"/>
    <tableColumn id="6" xr3:uid="{00000000-0010-0000-0200-000006000000}" name="domain"/>
    <tableColumn id="7" xr3:uid="{00000000-0010-0000-0200-000007000000}" name="rollup_relationship"/>
    <tableColumn id="8" xr3:uid="{00000000-0010-0000-0200-000008000000}" name="is_rollup"/>
    <tableColumn id="9" xr3:uid="{00000000-0010-0000-0200-000009000000}" name="composite_group"/>
    <tableColumn id="10" xr3:uid="{00000000-0010-0000-0200-00000A000000}" name="data_steward"/>
    <tableColumn id="11" xr3:uid="{00000000-0010-0000-0200-00000B000000}" name="steward_contact"/>
    <tableColumn id="12" xr3:uid="{00000000-0010-0000-0200-00000C000000}" name="approval_status"/>
    <tableColumn id="13" xr3:uid="{00000000-0010-0000-0200-00000D000000}" name="schema_version"/>
    <tableColumn id="14" xr3:uid="{00000000-0010-0000-0200-00000E000000}" name="last_modified_date"/>
    <tableColumn id="15" xr3:uid="{00000000-0010-0000-0200-00000F000000}" name="identifier_type"/>
    <tableColumn id="16" xr3:uid="{00000000-0010-0000-0200-000010000000}" name="identifier_authority"/>
    <tableColumn id="17" xr3:uid="{00000000-0010-0000-0200-000011000000}" name="hipaa_category"/>
    <tableColumn id="18" xr3:uid="{00000000-0010-0000-0200-000012000000}" name="fhir_security_label"/>
    <tableColumn id="19" xr3:uid="{00000000-0010-0000-0200-000013000000}" name="consent_category"/>
    <tableColumn id="20" xr3:uid="{00000000-0010-0000-0200-000014000000}" name="uscdi_data_class"/>
    <tableColumn id="21" xr3:uid="{00000000-0010-0000-0200-000015000000}" name="uscdi_data_ele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hi_dictionary" displayName="chi_dictionary" ref="A1:R47">
  <autoFilter ref="A1:R47" xr:uid="{00000000-0009-0000-0100-000004000000}"/>
  <tableColumns count="18">
    <tableColumn id="1" xr3:uid="{00000000-0010-0000-0300-000001000000}" name="semantic_id"/>
    <tableColumn id="2" xr3:uid="{00000000-0010-0000-0300-000002000000}" name="data_source_rank_reference"/>
    <tableColumn id="3" xr3:uid="{00000000-0010-0000-0300-000003000000}" name="innovaccer_survivorship_logic"/>
    <tableColumn id="4" xr3:uid="{00000000-0010-0000-0300-000004000000}" name="data_quality_notes"/>
    <tableColumn id="5" xr3:uid="{00000000-0010-0000-0300-000005000000}" name="fhir_r4_path"/>
    <tableColumn id="6" xr3:uid="{00000000-0010-0000-0300-000006000000}" name="fhir_data_type"/>
    <tableColumn id="7" xr3:uid="{00000000-0010-0000-0300-000007000000}" name="calculation_grain"/>
    <tableColumn id="8" xr3:uid="{00000000-0010-0000-0300-000008000000}" name="historical_freeze"/>
    <tableColumn id="9" xr3:uid="{00000000-0010-0000-0300-000009000000}" name="recalc_window_months"/>
    <tableColumn id="10" xr3:uid="{00000000-0010-0000-0300-00000A000000}" name="fhir_must_support"/>
    <tableColumn id="11" xr3:uid="{00000000-0010-0000-0300-00000B000000}" name="fhir_profile"/>
    <tableColumn id="12" xr3:uid="{00000000-0010-0000-0300-00000C000000}" name="fhir_cardinality"/>
    <tableColumn id="13" xr3:uid="{00000000-0010-0000-0300-00000D000000}" name="identity_resolution_notes"/>
    <tableColumn id="14" xr3:uid="{00000000-0010-0000-0300-00000E000000}" name="tie_breaker_rule"/>
    <tableColumn id="15" xr3:uid="{00000000-0010-0000-0300-00000F000000}" name="conflict_detection_enabled"/>
    <tableColumn id="16" xr3:uid="{00000000-0010-0000-0300-000010000000}" name="manual_override_allowed"/>
    <tableColumn id="17" xr3:uid="{00000000-0010-0000-0300-000011000000}" name="de_identification_method"/>
    <tableColumn id="18" xr3:uid="{00000000-0010-0000-0300-000012000000}" name="chi_survivorship_log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hi_source_availability" displayName="chi_source_availability" ref="A1:F47">
  <autoFilter ref="A1:F47" xr:uid="{00000000-0009-0000-0100-000005000000}"/>
  <tableColumns count="6">
    <tableColumn id="1" xr3:uid="{00000000-0010-0000-0400-000001000000}" name="source_id"/>
    <tableColumn id="2" xr3:uid="{00000000-0010-0000-0400-000002000000}" name="semantic_id"/>
    <tableColumn id="3" xr3:uid="{00000000-0010-0000-0400-000003000000}" name="availability"/>
    <tableColumn id="4" xr3:uid="{00000000-0010-0000-0400-000004000000}" name="completeness_pct"/>
    <tableColumn id="5" xr3:uid="{00000000-0010-0000-0400-000005000000}" name="timeliness_sla_hours"/>
    <tableColumn id="6" xr3:uid="{00000000-0010-0000-0400-000006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chi_adt_mappings" displayName="chi_adt_mappings" ref="A1:L48">
  <autoFilter ref="A1:L48" xr:uid="{00000000-0009-0000-0100-000006000000}"/>
  <tableColumns count="12">
    <tableColumn id="1" xr3:uid="{00000000-0010-0000-0500-000001000000}" name="message_format"/>
    <tableColumn id="2" xr3:uid="{00000000-0010-0000-0500-000002000000}" name="message_type"/>
    <tableColumn id="3" xr3:uid="{00000000-0010-0000-0500-000003000000}" name="segment_id"/>
    <tableColumn id="4" xr3:uid="{00000000-0010-0000-0500-000004000000}" name="field_id"/>
    <tableColumn id="5" xr3:uid="{00000000-0010-0000-0500-000005000000}" name="field_name"/>
    <tableColumn id="6" xr3:uid="{00000000-0010-0000-0500-000006000000}" name="data_type"/>
    <tableColumn id="7" xr3:uid="{00000000-0010-0000-0500-000007000000}" name="optionality"/>
    <tableColumn id="8" xr3:uid="{00000000-0010-0000-0500-000008000000}" name="cardinality"/>
    <tableColumn id="9" xr3:uid="{00000000-0010-0000-0500-000009000000}" name="semantic_id"/>
    <tableColumn id="10" xr3:uid="{00000000-0010-0000-0500-00000A000000}" name="fhir_r4_path"/>
    <tableColumn id="11" xr3:uid="{00000000-0010-0000-0500-00000B000000}" name="notes"/>
    <tableColumn id="12" xr3:uid="{00000000-0010-0000-0500-00000C000000}" name="mapping_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hi_ccda_mappings" displayName="chi_ccda_mappings" ref="A1:H35">
  <autoFilter ref="A1:H35" xr:uid="{00000000-0009-0000-0100-000007000000}"/>
  <tableColumns count="8">
    <tableColumn id="1" xr3:uid="{00000000-0010-0000-0600-000001000000}" name="message_format"/>
    <tableColumn id="2" xr3:uid="{00000000-0010-0000-0600-000002000000}" name="section_name"/>
    <tableColumn id="3" xr3:uid="{00000000-0010-0000-0600-000003000000}" name="entry_type"/>
    <tableColumn id="4" xr3:uid="{00000000-0010-0000-0600-000004000000}" name="xml_path"/>
    <tableColumn id="5" xr3:uid="{00000000-0010-0000-0600-000005000000}" name="semantic_id"/>
    <tableColumn id="6" xr3:uid="{00000000-0010-0000-0600-000006000000}" name="fhir_r4_path"/>
    <tableColumn id="7" xr3:uid="{00000000-0010-0000-0600-000007000000}" name="notes"/>
    <tableColumn id="8" xr3:uid="{00000000-0010-0000-0600-000008000000}" name="mapping_statu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hi_fhir_inventory" displayName="chi_fhir_inventory" ref="A1:L268">
  <autoFilter ref="A1:L268" xr:uid="{00000000-0009-0000-0100-000008000000}"/>
  <tableColumns count="12">
    <tableColumn id="1" xr3:uid="{00000000-0010-0000-0700-000001000000}" name="inventory_scope"/>
    <tableColumn id="2" xr3:uid="{00000000-0010-0000-0700-000002000000}" name="fhir_version"/>
    <tableColumn id="3" xr3:uid="{00000000-0010-0000-0700-000003000000}" name="fhir_resource"/>
    <tableColumn id="4" xr3:uid="{00000000-0010-0000-0700-000004000000}" name="fhir_path"/>
    <tableColumn id="5" xr3:uid="{00000000-0010-0000-0700-000005000000}" name="fhir_data_type"/>
    <tableColumn id="6" xr3:uid="{00000000-0010-0000-0700-000006000000}" name="fhir_cardinality"/>
    <tableColumn id="7" xr3:uid="{00000000-0010-0000-0700-000007000000}" name="fhir_must_support"/>
    <tableColumn id="8" xr3:uid="{00000000-0010-0000-0700-000008000000}" name="fhir_profile"/>
    <tableColumn id="9" xr3:uid="{00000000-0010-0000-0700-000009000000}" name="fhir_definition"/>
    <tableColumn id="10" xr3:uid="{00000000-0010-0000-0700-00000A000000}" name="standard_reference_url"/>
    <tableColumn id="11" xr3:uid="{00000000-0010-0000-0700-00000B000000}" name="semantic_id"/>
    <tableColumn id="12" xr3:uid="{00000000-0010-0000-0700-00000C000000}" name="mapping_statu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hi_business_rules" displayName="chi_business_rules" ref="A1:K6">
  <autoFilter ref="A1:K6" xr:uid="{00000000-0009-0000-0100-000009000000}"/>
  <tableColumns count="11">
    <tableColumn id="1" xr3:uid="{00000000-0010-0000-0800-000001000000}" name="rule_id"/>
    <tableColumn id="2" xr3:uid="{00000000-0010-0000-0800-000002000000}" name="semantic_id"/>
    <tableColumn id="3" xr3:uid="{00000000-0010-0000-0800-000003000000}" name="standard_scope"/>
    <tableColumn id="4" xr3:uid="{00000000-0010-0000-0800-000004000000}" name="rule_name"/>
    <tableColumn id="5" xr3:uid="{00000000-0010-0000-0800-000005000000}" name="rule_type"/>
    <tableColumn id="6" xr3:uid="{00000000-0010-0000-0800-000006000000}" name="rule_expression"/>
    <tableColumn id="7" xr3:uid="{00000000-0010-0000-0800-000007000000}" name="severity"/>
    <tableColumn id="8" xr3:uid="{00000000-0010-0000-0800-000008000000}" name="active"/>
    <tableColumn id="9" xr3:uid="{00000000-0010-0000-0800-000009000000}" name="owner"/>
    <tableColumn id="10" xr3:uid="{00000000-0010-0000-0800-00000A000000}" name="approval_status"/>
    <tableColumn id="11" xr3:uid="{00000000-0010-0000-0800-00000B000000}"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hi_source_registry" displayName="chi_source_registry" ref="A1:E2">
  <autoFilter ref="A1:E2" xr:uid="{00000000-0009-0000-0100-00000A000000}"/>
  <tableColumns count="5">
    <tableColumn id="1" xr3:uid="{00000000-0010-0000-0900-000001000000}" name="source_id"/>
    <tableColumn id="2" xr3:uid="{00000000-0010-0000-0900-000002000000}" name="source_name"/>
    <tableColumn id="3" xr3:uid="{00000000-0010-0000-0900-000003000000}" name="organization"/>
    <tableColumn id="4" xr3:uid="{00000000-0010-0000-0900-000004000000}" name="delivery_format"/>
    <tableColumn id="5" xr3:uid="{00000000-0010-0000-0900-000005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chi_steward_queue" displayName="chi_steward_queue" ref="A1:H47">
  <autoFilter ref="A1:H47" xr:uid="{00000000-0009-0000-0100-00000B000000}"/>
  <tableColumns count="8">
    <tableColumn id="1" xr3:uid="{00000000-0010-0000-0A00-000001000000}" name="semantic_id"/>
    <tableColumn id="2" xr3:uid="{00000000-0010-0000-0A00-000002000000}" name="curation_status"/>
    <tableColumn id="3" xr3:uid="{00000000-0010-0000-0A00-000003000000}" name="steward_assigned_to"/>
    <tableColumn id="4" xr3:uid="{00000000-0010-0000-0A00-000004000000}" name="steward_action_notes"/>
    <tableColumn id="5" xr3:uid="{00000000-0010-0000-0A00-000005000000}" name="reviewer_notes"/>
    <tableColumn id="6" xr3:uid="{00000000-0010-0000-0A00-000006000000}" name="priority"/>
    <tableColumn id="7" xr3:uid="{00000000-0010-0000-0A00-000007000000}" name="queue_type"/>
    <tableColumn id="8" xr3:uid="{00000000-0010-0000-0A00-000008000000}"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0" sqref="B10"/>
    </sheetView>
  </sheetViews>
  <sheetFormatPr defaultRowHeight="15" x14ac:dyDescent="0.25"/>
  <cols>
    <col min="1" max="1" width="28" customWidth="1"/>
    <col min="2" max="2" width="110" customWidth="1"/>
  </cols>
  <sheetData>
    <row r="1" spans="1:2" ht="18.75" x14ac:dyDescent="0.25">
      <c r="A1" s="1" t="s">
        <v>0</v>
      </c>
      <c r="B1" s="2"/>
    </row>
    <row r="2" spans="1:2" x14ac:dyDescent="0.25">
      <c r="A2" s="2"/>
      <c r="B2" s="2"/>
    </row>
    <row r="3" spans="1:2" x14ac:dyDescent="0.25">
      <c r="A3" s="2" t="s">
        <v>1</v>
      </c>
      <c r="B3" s="2"/>
    </row>
    <row r="4" spans="1:2" x14ac:dyDescent="0.25">
      <c r="A4" s="2" t="s">
        <v>2</v>
      </c>
      <c r="B4" s="2" t="s">
        <v>3</v>
      </c>
    </row>
    <row r="5" spans="1:2" x14ac:dyDescent="0.25">
      <c r="A5" s="2" t="s">
        <v>4</v>
      </c>
      <c r="B5" s="2" t="s">
        <v>5</v>
      </c>
    </row>
    <row r="6" spans="1:2" x14ac:dyDescent="0.25">
      <c r="A6" s="2" t="s">
        <v>6</v>
      </c>
      <c r="B6" s="2" t="s">
        <v>7</v>
      </c>
    </row>
    <row r="7" spans="1:2" x14ac:dyDescent="0.25">
      <c r="A7" s="2" t="s">
        <v>8</v>
      </c>
      <c r="B7" s="2" t="s">
        <v>9</v>
      </c>
    </row>
    <row r="8" spans="1:2" x14ac:dyDescent="0.25">
      <c r="A8" s="2" t="s">
        <v>10</v>
      </c>
      <c r="B8" s="2" t="s">
        <v>11</v>
      </c>
    </row>
    <row r="9" spans="1:2" x14ac:dyDescent="0.25">
      <c r="A9" s="2"/>
      <c r="B9" s="2"/>
    </row>
    <row r="10" spans="1:2" x14ac:dyDescent="0.25">
      <c r="A10" s="2" t="s">
        <v>12</v>
      </c>
      <c r="B10" s="2" t="s">
        <v>13</v>
      </c>
    </row>
    <row r="11" spans="1:2" x14ac:dyDescent="0.25">
      <c r="A11" s="2" t="s">
        <v>14</v>
      </c>
      <c r="B11" s="2" t="s">
        <v>15</v>
      </c>
    </row>
    <row r="12" spans="1:2" ht="30" x14ac:dyDescent="0.25">
      <c r="A12" s="2" t="s">
        <v>16</v>
      </c>
      <c r="B12" s="2" t="s">
        <v>17</v>
      </c>
    </row>
    <row r="13" spans="1:2" x14ac:dyDescent="0.25">
      <c r="A13" s="2" t="s">
        <v>18</v>
      </c>
      <c r="B13" s="2" t="s">
        <v>19</v>
      </c>
    </row>
    <row r="14" spans="1:2" x14ac:dyDescent="0.25">
      <c r="A14" s="2" t="s">
        <v>20</v>
      </c>
      <c r="B14" s="2" t="s">
        <v>21</v>
      </c>
    </row>
    <row r="15" spans="1:2" ht="30" x14ac:dyDescent="0.25">
      <c r="A15" s="2" t="s">
        <v>22</v>
      </c>
      <c r="B15" s="2" t="s">
        <v>23</v>
      </c>
    </row>
    <row r="16" spans="1:2" ht="30" x14ac:dyDescent="0.25">
      <c r="A16" s="2" t="s">
        <v>24</v>
      </c>
      <c r="B16" s="2" t="s">
        <v>25</v>
      </c>
    </row>
    <row r="17" spans="1:2" x14ac:dyDescent="0.25">
      <c r="A17" s="2" t="s">
        <v>26</v>
      </c>
      <c r="B17" s="2" t="s">
        <v>27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workbookViewId="0">
      <pane ySplit="1" topLeftCell="A2" activePane="bottomLeft" state="frozen"/>
      <selection pane="bottomLeft"/>
    </sheetView>
  </sheetViews>
  <sheetFormatPr defaultRowHeight="15" x14ac:dyDescent="0.25"/>
  <cols>
    <col min="1" max="1" width="29" customWidth="1"/>
    <col min="2" max="2" width="14" customWidth="1"/>
    <col min="3" max="3" width="13" customWidth="1"/>
    <col min="4" max="4" width="25" customWidth="1"/>
    <col min="5" max="6" width="13" customWidth="1"/>
    <col min="7" max="7" width="38" customWidth="1"/>
  </cols>
  <sheetData>
    <row r="1" spans="1:7" x14ac:dyDescent="0.25">
      <c r="A1" s="3" t="s">
        <v>28</v>
      </c>
      <c r="B1" s="3" t="s">
        <v>29</v>
      </c>
      <c r="C1" s="3" t="s">
        <v>30</v>
      </c>
      <c r="D1" s="3" t="s">
        <v>31</v>
      </c>
      <c r="E1" s="3" t="s">
        <v>32</v>
      </c>
      <c r="F1" s="3" t="s">
        <v>33</v>
      </c>
      <c r="G1" s="3" t="s">
        <v>34</v>
      </c>
    </row>
    <row r="2" spans="1:7" x14ac:dyDescent="0.25">
      <c r="A2" t="s">
        <v>35</v>
      </c>
      <c r="B2" t="s">
        <v>36</v>
      </c>
      <c r="C2" t="s">
        <v>37</v>
      </c>
      <c r="D2" t="s">
        <v>38</v>
      </c>
      <c r="E2" t="s">
        <v>37</v>
      </c>
      <c r="F2" t="s">
        <v>39</v>
      </c>
      <c r="G2" t="s">
        <v>40</v>
      </c>
    </row>
    <row r="3" spans="1:7" x14ac:dyDescent="0.25">
      <c r="A3" t="s">
        <v>41</v>
      </c>
      <c r="B3" t="s">
        <v>36</v>
      </c>
      <c r="C3" t="s">
        <v>37</v>
      </c>
      <c r="D3" t="s">
        <v>42</v>
      </c>
      <c r="E3" t="s">
        <v>37</v>
      </c>
      <c r="F3" t="s">
        <v>43</v>
      </c>
      <c r="G3" t="s">
        <v>44</v>
      </c>
    </row>
    <row r="4" spans="1:7" x14ac:dyDescent="0.25">
      <c r="A4" t="s">
        <v>45</v>
      </c>
      <c r="B4" t="s">
        <v>36</v>
      </c>
      <c r="C4" t="s">
        <v>37</v>
      </c>
      <c r="D4" t="s">
        <v>46</v>
      </c>
      <c r="E4" t="s">
        <v>37</v>
      </c>
      <c r="F4" t="s">
        <v>43</v>
      </c>
      <c r="G4" t="s">
        <v>47</v>
      </c>
    </row>
    <row r="5" spans="1:7" x14ac:dyDescent="0.25">
      <c r="A5" t="s">
        <v>48</v>
      </c>
      <c r="B5" t="s">
        <v>36</v>
      </c>
      <c r="C5" t="s">
        <v>37</v>
      </c>
      <c r="D5" t="s">
        <v>49</v>
      </c>
      <c r="E5" t="s">
        <v>37</v>
      </c>
      <c r="F5" t="s">
        <v>43</v>
      </c>
      <c r="G5" t="s">
        <v>50</v>
      </c>
    </row>
    <row r="6" spans="1:7" x14ac:dyDescent="0.25">
      <c r="A6" t="s">
        <v>51</v>
      </c>
      <c r="B6" t="s">
        <v>36</v>
      </c>
      <c r="C6" t="s">
        <v>37</v>
      </c>
      <c r="D6" t="s">
        <v>52</v>
      </c>
      <c r="E6" t="s">
        <v>37</v>
      </c>
      <c r="F6" t="s">
        <v>43</v>
      </c>
      <c r="G6" t="s">
        <v>53</v>
      </c>
    </row>
    <row r="7" spans="1:7" x14ac:dyDescent="0.25">
      <c r="A7" t="s">
        <v>54</v>
      </c>
      <c r="B7" t="s">
        <v>36</v>
      </c>
      <c r="C7" t="s">
        <v>37</v>
      </c>
      <c r="D7" t="s">
        <v>55</v>
      </c>
      <c r="E7" t="s">
        <v>37</v>
      </c>
      <c r="F7" t="s">
        <v>43</v>
      </c>
      <c r="G7" t="s">
        <v>56</v>
      </c>
    </row>
    <row r="8" spans="1:7" x14ac:dyDescent="0.25">
      <c r="A8" t="s">
        <v>57</v>
      </c>
      <c r="B8" t="s">
        <v>36</v>
      </c>
      <c r="C8" t="s">
        <v>37</v>
      </c>
      <c r="D8" t="s">
        <v>58</v>
      </c>
      <c r="E8" t="s">
        <v>37</v>
      </c>
      <c r="F8" t="s">
        <v>39</v>
      </c>
      <c r="G8" t="s">
        <v>59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3"/>
  <sheetViews>
    <sheetView workbookViewId="0">
      <pane ySplit="1" topLeftCell="A2" activePane="bottomLeft" state="frozen"/>
      <selection pane="bottomLeft"/>
    </sheetView>
  </sheetViews>
  <sheetFormatPr defaultRowHeight="15" x14ac:dyDescent="0.25"/>
  <cols>
    <col min="1" max="1" width="25" customWidth="1"/>
    <col min="2" max="2" width="21" customWidth="1"/>
    <col min="3" max="3" width="38" customWidth="1"/>
    <col min="4" max="4" width="16" customWidth="1"/>
  </cols>
  <sheetData>
    <row r="1" spans="1:4" x14ac:dyDescent="0.25">
      <c r="A1" s="4" t="s">
        <v>60</v>
      </c>
      <c r="B1" s="4" t="s">
        <v>61</v>
      </c>
      <c r="C1" s="4" t="s">
        <v>62</v>
      </c>
      <c r="D1" s="4" t="s">
        <v>63</v>
      </c>
    </row>
    <row r="2" spans="1:4" x14ac:dyDescent="0.25">
      <c r="A2" t="s">
        <v>64</v>
      </c>
      <c r="B2" t="s">
        <v>20</v>
      </c>
      <c r="C2" t="s">
        <v>65</v>
      </c>
      <c r="D2" t="s">
        <v>1</v>
      </c>
    </row>
    <row r="3" spans="1:4" x14ac:dyDescent="0.25">
      <c r="A3" t="s">
        <v>36</v>
      </c>
      <c r="B3" t="s">
        <v>66</v>
      </c>
      <c r="C3" t="s">
        <v>67</v>
      </c>
      <c r="D3" t="s">
        <v>1</v>
      </c>
    </row>
    <row r="4" spans="1:4" x14ac:dyDescent="0.25">
      <c r="A4" t="s">
        <v>38</v>
      </c>
      <c r="B4" t="s">
        <v>68</v>
      </c>
      <c r="C4" t="s">
        <v>69</v>
      </c>
      <c r="D4" t="s">
        <v>1</v>
      </c>
    </row>
    <row r="5" spans="1:4" x14ac:dyDescent="0.25">
      <c r="A5" t="s">
        <v>42</v>
      </c>
      <c r="B5" t="s">
        <v>70</v>
      </c>
      <c r="C5" t="s">
        <v>71</v>
      </c>
      <c r="D5" t="s">
        <v>72</v>
      </c>
    </row>
    <row r="6" spans="1:4" x14ac:dyDescent="0.25">
      <c r="A6" t="s">
        <v>73</v>
      </c>
      <c r="B6" t="s">
        <v>74</v>
      </c>
      <c r="C6" t="s">
        <v>75</v>
      </c>
      <c r="D6" t="s">
        <v>72</v>
      </c>
    </row>
    <row r="7" spans="1:4" x14ac:dyDescent="0.25">
      <c r="A7" t="s">
        <v>58</v>
      </c>
      <c r="B7" t="s">
        <v>22</v>
      </c>
      <c r="C7" t="s">
        <v>76</v>
      </c>
      <c r="D7" t="s">
        <v>77</v>
      </c>
    </row>
    <row r="8" spans="1:4" x14ac:dyDescent="0.25">
      <c r="A8" t="s">
        <v>46</v>
      </c>
      <c r="B8" t="s">
        <v>78</v>
      </c>
      <c r="C8" t="s">
        <v>79</v>
      </c>
      <c r="D8" t="s">
        <v>80</v>
      </c>
    </row>
    <row r="9" spans="1:4" x14ac:dyDescent="0.25">
      <c r="A9" t="s">
        <v>49</v>
      </c>
      <c r="B9" t="s">
        <v>81</v>
      </c>
      <c r="C9" t="s">
        <v>82</v>
      </c>
      <c r="D9" t="s">
        <v>80</v>
      </c>
    </row>
    <row r="10" spans="1:4" x14ac:dyDescent="0.25">
      <c r="A10" t="s">
        <v>52</v>
      </c>
      <c r="B10" t="s">
        <v>83</v>
      </c>
      <c r="C10" t="s">
        <v>84</v>
      </c>
      <c r="D10" t="s">
        <v>80</v>
      </c>
    </row>
    <row r="11" spans="1:4" x14ac:dyDescent="0.25">
      <c r="A11" t="s">
        <v>55</v>
      </c>
      <c r="B11" t="s">
        <v>85</v>
      </c>
      <c r="C11" t="s">
        <v>86</v>
      </c>
      <c r="D11" t="s">
        <v>80</v>
      </c>
    </row>
    <row r="12" spans="1:4" x14ac:dyDescent="0.25">
      <c r="A12" t="s">
        <v>87</v>
      </c>
      <c r="B12" t="s">
        <v>88</v>
      </c>
      <c r="C12" t="s">
        <v>89</v>
      </c>
      <c r="D12" t="s">
        <v>90</v>
      </c>
    </row>
    <row r="13" spans="1:4" x14ac:dyDescent="0.25">
      <c r="A13" t="s">
        <v>91</v>
      </c>
      <c r="B13" t="s">
        <v>16</v>
      </c>
      <c r="C13" t="s">
        <v>92</v>
      </c>
      <c r="D13" t="s">
        <v>90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7"/>
  <sheetViews>
    <sheetView workbookViewId="0">
      <pane ySplit="1" topLeftCell="A2" activePane="bottomLeft" state="frozen"/>
      <selection pane="bottomLeft"/>
    </sheetView>
  </sheetViews>
  <sheetFormatPr defaultRowHeight="15" x14ac:dyDescent="0.25"/>
  <cols>
    <col min="1" max="1" width="38" customWidth="1"/>
    <col min="2" max="2" width="12" customWidth="1"/>
    <col min="3" max="3" width="20" customWidth="1"/>
    <col min="4" max="4" width="17" customWidth="1"/>
    <col min="5" max="5" width="14" customWidth="1"/>
    <col min="6" max="6" width="18" customWidth="1"/>
  </cols>
  <sheetData>
    <row r="1" spans="1:6" x14ac:dyDescent="0.25">
      <c r="A1" s="4" t="s">
        <v>37</v>
      </c>
      <c r="B1" s="4" t="s">
        <v>93</v>
      </c>
      <c r="C1" s="4" t="s">
        <v>94</v>
      </c>
      <c r="D1" s="4" t="s">
        <v>95</v>
      </c>
      <c r="E1" s="4" t="s">
        <v>96</v>
      </c>
      <c r="F1" s="4" t="s">
        <v>97</v>
      </c>
    </row>
    <row r="2" spans="1:6" x14ac:dyDescent="0.25">
      <c r="A2" t="s">
        <v>98</v>
      </c>
      <c r="B2" t="s">
        <v>99</v>
      </c>
      <c r="C2" t="s">
        <v>100</v>
      </c>
      <c r="D2" t="s">
        <v>101</v>
      </c>
      <c r="E2" t="s">
        <v>102</v>
      </c>
      <c r="F2" t="s">
        <v>103</v>
      </c>
    </row>
    <row r="3" spans="1:6" x14ac:dyDescent="0.25">
      <c r="A3" t="s">
        <v>104</v>
      </c>
      <c r="C3" t="s">
        <v>105</v>
      </c>
      <c r="D3" t="s">
        <v>106</v>
      </c>
      <c r="E3" t="s">
        <v>107</v>
      </c>
      <c r="F3" t="s">
        <v>108</v>
      </c>
    </row>
    <row r="4" spans="1:6" x14ac:dyDescent="0.25">
      <c r="A4" t="s">
        <v>109</v>
      </c>
      <c r="C4" t="s">
        <v>110</v>
      </c>
      <c r="D4" t="s">
        <v>111</v>
      </c>
      <c r="E4" t="s">
        <v>112</v>
      </c>
      <c r="F4" t="s">
        <v>113</v>
      </c>
    </row>
    <row r="5" spans="1:6" x14ac:dyDescent="0.25">
      <c r="A5" t="s">
        <v>114</v>
      </c>
      <c r="D5" t="s">
        <v>115</v>
      </c>
      <c r="E5" t="s">
        <v>116</v>
      </c>
      <c r="F5" t="s">
        <v>117</v>
      </c>
    </row>
    <row r="6" spans="1:6" x14ac:dyDescent="0.25">
      <c r="A6" t="s">
        <v>118</v>
      </c>
    </row>
    <row r="7" spans="1:6" x14ac:dyDescent="0.25">
      <c r="A7" t="s">
        <v>119</v>
      </c>
    </row>
    <row r="8" spans="1:6" x14ac:dyDescent="0.25">
      <c r="A8" t="s">
        <v>120</v>
      </c>
    </row>
    <row r="9" spans="1:6" x14ac:dyDescent="0.25">
      <c r="A9" t="s">
        <v>121</v>
      </c>
    </row>
    <row r="10" spans="1:6" x14ac:dyDescent="0.25">
      <c r="A10" t="s">
        <v>122</v>
      </c>
    </row>
    <row r="11" spans="1:6" x14ac:dyDescent="0.25">
      <c r="A11" t="s">
        <v>123</v>
      </c>
    </row>
    <row r="12" spans="1:6" x14ac:dyDescent="0.25">
      <c r="A12" t="s">
        <v>124</v>
      </c>
    </row>
    <row r="13" spans="1:6" x14ac:dyDescent="0.25">
      <c r="A13" t="s">
        <v>125</v>
      </c>
    </row>
    <row r="14" spans="1:6" x14ac:dyDescent="0.25">
      <c r="A14" t="s">
        <v>126</v>
      </c>
    </row>
    <row r="15" spans="1:6" x14ac:dyDescent="0.25">
      <c r="A15" t="s">
        <v>127</v>
      </c>
    </row>
    <row r="16" spans="1:6" x14ac:dyDescent="0.25">
      <c r="A16" t="s">
        <v>128</v>
      </c>
    </row>
    <row r="17" spans="1:1" x14ac:dyDescent="0.25">
      <c r="A17" t="s">
        <v>129</v>
      </c>
    </row>
    <row r="18" spans="1:1" x14ac:dyDescent="0.25">
      <c r="A18" t="s">
        <v>130</v>
      </c>
    </row>
    <row r="19" spans="1:1" x14ac:dyDescent="0.25">
      <c r="A19" t="s">
        <v>131</v>
      </c>
    </row>
    <row r="20" spans="1:1" x14ac:dyDescent="0.25">
      <c r="A20" t="s">
        <v>132</v>
      </c>
    </row>
    <row r="21" spans="1:1" x14ac:dyDescent="0.25">
      <c r="A21" t="s">
        <v>133</v>
      </c>
    </row>
    <row r="22" spans="1:1" x14ac:dyDescent="0.25">
      <c r="A22" t="s">
        <v>134</v>
      </c>
    </row>
    <row r="23" spans="1:1" x14ac:dyDescent="0.25">
      <c r="A23" t="s">
        <v>135</v>
      </c>
    </row>
    <row r="24" spans="1:1" x14ac:dyDescent="0.25">
      <c r="A24" t="s">
        <v>136</v>
      </c>
    </row>
    <row r="25" spans="1:1" x14ac:dyDescent="0.25">
      <c r="A25" t="s">
        <v>137</v>
      </c>
    </row>
    <row r="26" spans="1:1" x14ac:dyDescent="0.25">
      <c r="A26" t="s">
        <v>138</v>
      </c>
    </row>
    <row r="27" spans="1:1" x14ac:dyDescent="0.25">
      <c r="A27" t="s">
        <v>139</v>
      </c>
    </row>
    <row r="28" spans="1:1" x14ac:dyDescent="0.25">
      <c r="A28" t="s">
        <v>140</v>
      </c>
    </row>
    <row r="29" spans="1:1" x14ac:dyDescent="0.25">
      <c r="A29" t="s">
        <v>141</v>
      </c>
    </row>
    <row r="30" spans="1:1" x14ac:dyDescent="0.25">
      <c r="A30" t="s">
        <v>142</v>
      </c>
    </row>
    <row r="31" spans="1:1" x14ac:dyDescent="0.25">
      <c r="A31" t="s">
        <v>143</v>
      </c>
    </row>
    <row r="32" spans="1:1" x14ac:dyDescent="0.25">
      <c r="A32" t="s">
        <v>144</v>
      </c>
    </row>
    <row r="33" spans="1:1" x14ac:dyDescent="0.25">
      <c r="A33" t="s">
        <v>145</v>
      </c>
    </row>
    <row r="34" spans="1:1" x14ac:dyDescent="0.25">
      <c r="A34" t="s">
        <v>146</v>
      </c>
    </row>
    <row r="35" spans="1:1" x14ac:dyDescent="0.25">
      <c r="A35" t="s">
        <v>147</v>
      </c>
    </row>
    <row r="36" spans="1:1" x14ac:dyDescent="0.25">
      <c r="A36" t="s">
        <v>148</v>
      </c>
    </row>
    <row r="37" spans="1:1" x14ac:dyDescent="0.25">
      <c r="A37" t="s">
        <v>149</v>
      </c>
    </row>
    <row r="38" spans="1:1" x14ac:dyDescent="0.25">
      <c r="A38" t="s">
        <v>150</v>
      </c>
    </row>
    <row r="39" spans="1:1" x14ac:dyDescent="0.25">
      <c r="A39" t="s">
        <v>151</v>
      </c>
    </row>
    <row r="40" spans="1:1" x14ac:dyDescent="0.25">
      <c r="A40" t="s">
        <v>152</v>
      </c>
    </row>
    <row r="41" spans="1:1" x14ac:dyDescent="0.25">
      <c r="A41" t="s">
        <v>153</v>
      </c>
    </row>
    <row r="42" spans="1:1" x14ac:dyDescent="0.25">
      <c r="A42" t="s">
        <v>154</v>
      </c>
    </row>
    <row r="43" spans="1:1" x14ac:dyDescent="0.25">
      <c r="A43" t="s">
        <v>155</v>
      </c>
    </row>
    <row r="44" spans="1:1" x14ac:dyDescent="0.25">
      <c r="A44" t="s">
        <v>156</v>
      </c>
    </row>
    <row r="45" spans="1:1" x14ac:dyDescent="0.25">
      <c r="A45" t="s">
        <v>157</v>
      </c>
    </row>
    <row r="46" spans="1:1" x14ac:dyDescent="0.25">
      <c r="A46" t="s">
        <v>158</v>
      </c>
    </row>
    <row r="47" spans="1:1" x14ac:dyDescent="0.25">
      <c r="A47" t="s">
        <v>159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47"/>
  <sheetViews>
    <sheetView workbookViewId="0">
      <pane ySplit="1" topLeftCell="A17" activePane="bottomLeft" state="frozen"/>
      <selection pane="bottomLeft"/>
    </sheetView>
  </sheetViews>
  <sheetFormatPr defaultRowHeight="15" x14ac:dyDescent="0.25"/>
  <cols>
    <col min="1" max="1" width="38" customWidth="1"/>
    <col min="2" max="2" width="31" customWidth="1"/>
    <col min="3" max="3" width="38" customWidth="1"/>
    <col min="4" max="4" width="27" customWidth="1"/>
    <col min="5" max="5" width="32" customWidth="1"/>
    <col min="6" max="6" width="12" customWidth="1"/>
    <col min="7" max="7" width="21" customWidth="1"/>
    <col min="8" max="8" width="12" customWidth="1"/>
    <col min="9" max="9" width="17" customWidth="1"/>
    <col min="10" max="10" width="14" customWidth="1"/>
    <col min="11" max="12" width="17" customWidth="1"/>
    <col min="13" max="13" width="16" customWidth="1"/>
    <col min="14" max="14" width="20" customWidth="1"/>
    <col min="15" max="15" width="17" customWidth="1"/>
    <col min="16" max="16" width="22" customWidth="1"/>
    <col min="17" max="17" width="16" customWidth="1"/>
    <col min="18" max="18" width="21" customWidth="1"/>
    <col min="19" max="20" width="18" customWidth="1"/>
    <col min="21" max="21" width="20" customWidth="1"/>
  </cols>
  <sheetData>
    <row r="1" spans="1:21" x14ac:dyDescent="0.25">
      <c r="A1" s="4" t="s">
        <v>37</v>
      </c>
      <c r="B1" s="4" t="s">
        <v>160</v>
      </c>
      <c r="C1" s="4" t="s">
        <v>161</v>
      </c>
      <c r="D1" s="4" t="s">
        <v>162</v>
      </c>
      <c r="E1" s="4" t="s">
        <v>163</v>
      </c>
      <c r="F1" s="4" t="s">
        <v>164</v>
      </c>
      <c r="G1" s="4" t="s">
        <v>165</v>
      </c>
      <c r="H1" s="4" t="s">
        <v>166</v>
      </c>
      <c r="I1" s="4" t="s">
        <v>167</v>
      </c>
      <c r="J1" s="4" t="s">
        <v>168</v>
      </c>
      <c r="K1" s="4" t="s">
        <v>169</v>
      </c>
      <c r="L1" s="4" t="s">
        <v>95</v>
      </c>
      <c r="M1" s="4" t="s">
        <v>170</v>
      </c>
      <c r="N1" s="4" t="s">
        <v>171</v>
      </c>
      <c r="O1" s="4" t="s">
        <v>172</v>
      </c>
      <c r="P1" s="4" t="s">
        <v>173</v>
      </c>
      <c r="Q1" s="4" t="s">
        <v>174</v>
      </c>
      <c r="R1" s="4" t="s">
        <v>175</v>
      </c>
      <c r="S1" s="4" t="s">
        <v>176</v>
      </c>
      <c r="T1" s="4" t="s">
        <v>177</v>
      </c>
      <c r="U1" s="4" t="s">
        <v>178</v>
      </c>
    </row>
    <row r="2" spans="1:21" x14ac:dyDescent="0.25">
      <c r="A2" t="s">
        <v>147</v>
      </c>
      <c r="B2" t="s">
        <v>179</v>
      </c>
      <c r="C2" t="s">
        <v>180</v>
      </c>
      <c r="D2" t="s">
        <v>181</v>
      </c>
      <c r="E2" t="s">
        <v>182</v>
      </c>
    </row>
    <row r="3" spans="1:21" x14ac:dyDescent="0.25">
      <c r="A3" t="s">
        <v>148</v>
      </c>
      <c r="B3" t="s">
        <v>183</v>
      </c>
      <c r="C3" t="s">
        <v>184</v>
      </c>
      <c r="D3" t="s">
        <v>181</v>
      </c>
      <c r="E3" t="s">
        <v>182</v>
      </c>
    </row>
    <row r="4" spans="1:21" x14ac:dyDescent="0.25">
      <c r="A4" t="s">
        <v>149</v>
      </c>
      <c r="B4" t="s">
        <v>185</v>
      </c>
      <c r="C4" t="s">
        <v>186</v>
      </c>
      <c r="D4" t="s">
        <v>181</v>
      </c>
      <c r="E4" t="s">
        <v>182</v>
      </c>
    </row>
    <row r="5" spans="1:21" x14ac:dyDescent="0.25">
      <c r="A5" t="s">
        <v>151</v>
      </c>
      <c r="B5" t="s">
        <v>187</v>
      </c>
      <c r="C5" t="s">
        <v>188</v>
      </c>
      <c r="D5" t="s">
        <v>181</v>
      </c>
      <c r="E5" t="s">
        <v>182</v>
      </c>
    </row>
    <row r="6" spans="1:21" x14ac:dyDescent="0.25">
      <c r="A6" t="s">
        <v>150</v>
      </c>
      <c r="B6" t="s">
        <v>189</v>
      </c>
      <c r="C6" t="s">
        <v>190</v>
      </c>
      <c r="D6" t="s">
        <v>181</v>
      </c>
      <c r="E6" t="s">
        <v>182</v>
      </c>
    </row>
    <row r="7" spans="1:21" x14ac:dyDescent="0.25">
      <c r="A7" t="s">
        <v>138</v>
      </c>
      <c r="B7" t="s">
        <v>191</v>
      </c>
      <c r="C7" t="s">
        <v>192</v>
      </c>
      <c r="D7" t="s">
        <v>181</v>
      </c>
      <c r="E7" t="s">
        <v>182</v>
      </c>
    </row>
    <row r="8" spans="1:21" x14ac:dyDescent="0.25">
      <c r="A8" t="s">
        <v>140</v>
      </c>
      <c r="B8" t="s">
        <v>193</v>
      </c>
      <c r="C8" t="s">
        <v>194</v>
      </c>
      <c r="D8" t="s">
        <v>181</v>
      </c>
      <c r="E8" t="s">
        <v>195</v>
      </c>
    </row>
    <row r="9" spans="1:21" x14ac:dyDescent="0.25">
      <c r="A9" t="s">
        <v>139</v>
      </c>
      <c r="B9" t="s">
        <v>196</v>
      </c>
      <c r="C9" t="s">
        <v>197</v>
      </c>
      <c r="D9" t="s">
        <v>181</v>
      </c>
      <c r="E9" t="s">
        <v>182</v>
      </c>
    </row>
    <row r="10" spans="1:21" x14ac:dyDescent="0.25">
      <c r="A10" t="s">
        <v>143</v>
      </c>
      <c r="B10" t="s">
        <v>198</v>
      </c>
      <c r="C10" t="s">
        <v>199</v>
      </c>
      <c r="D10" t="s">
        <v>181</v>
      </c>
      <c r="E10" t="s">
        <v>200</v>
      </c>
    </row>
    <row r="11" spans="1:21" x14ac:dyDescent="0.25">
      <c r="A11" t="s">
        <v>157</v>
      </c>
      <c r="B11" t="s">
        <v>201</v>
      </c>
      <c r="C11" t="s">
        <v>202</v>
      </c>
      <c r="D11" t="s">
        <v>181</v>
      </c>
      <c r="E11" t="s">
        <v>200</v>
      </c>
    </row>
    <row r="12" spans="1:21" x14ac:dyDescent="0.25">
      <c r="A12" t="s">
        <v>154</v>
      </c>
      <c r="B12" t="s">
        <v>203</v>
      </c>
      <c r="C12" t="s">
        <v>204</v>
      </c>
      <c r="D12" t="s">
        <v>181</v>
      </c>
      <c r="E12" t="s">
        <v>205</v>
      </c>
    </row>
    <row r="13" spans="1:21" x14ac:dyDescent="0.25">
      <c r="A13" t="s">
        <v>142</v>
      </c>
      <c r="B13" t="s">
        <v>206</v>
      </c>
      <c r="C13" t="s">
        <v>207</v>
      </c>
      <c r="D13" t="s">
        <v>181</v>
      </c>
      <c r="E13" t="s">
        <v>205</v>
      </c>
    </row>
    <row r="14" spans="1:21" x14ac:dyDescent="0.25">
      <c r="A14" t="s">
        <v>145</v>
      </c>
      <c r="B14" t="s">
        <v>208</v>
      </c>
      <c r="C14" t="s">
        <v>209</v>
      </c>
      <c r="D14" t="s">
        <v>181</v>
      </c>
      <c r="E14" t="s">
        <v>200</v>
      </c>
    </row>
    <row r="15" spans="1:21" x14ac:dyDescent="0.25">
      <c r="A15" t="s">
        <v>146</v>
      </c>
      <c r="B15" t="s">
        <v>210</v>
      </c>
      <c r="C15" t="s">
        <v>211</v>
      </c>
      <c r="D15" t="s">
        <v>181</v>
      </c>
      <c r="E15" t="s">
        <v>200</v>
      </c>
    </row>
    <row r="16" spans="1:21" x14ac:dyDescent="0.25">
      <c r="A16" t="s">
        <v>156</v>
      </c>
      <c r="B16" t="s">
        <v>212</v>
      </c>
      <c r="C16" t="s">
        <v>213</v>
      </c>
      <c r="D16" t="s">
        <v>181</v>
      </c>
      <c r="E16" t="s">
        <v>205</v>
      </c>
    </row>
    <row r="17" spans="1:5" x14ac:dyDescent="0.25">
      <c r="A17" t="s">
        <v>127</v>
      </c>
      <c r="B17" t="s">
        <v>214</v>
      </c>
      <c r="C17" t="s">
        <v>215</v>
      </c>
      <c r="D17" t="s">
        <v>181</v>
      </c>
      <c r="E17" t="s">
        <v>216</v>
      </c>
    </row>
    <row r="18" spans="1:5" x14ac:dyDescent="0.25">
      <c r="A18" t="s">
        <v>132</v>
      </c>
      <c r="B18" t="s">
        <v>217</v>
      </c>
      <c r="C18" t="s">
        <v>218</v>
      </c>
      <c r="D18" t="s">
        <v>181</v>
      </c>
      <c r="E18" t="s">
        <v>216</v>
      </c>
    </row>
    <row r="19" spans="1:5" x14ac:dyDescent="0.25">
      <c r="A19" t="s">
        <v>133</v>
      </c>
      <c r="B19" t="s">
        <v>219</v>
      </c>
      <c r="C19" t="s">
        <v>220</v>
      </c>
      <c r="D19" t="s">
        <v>181</v>
      </c>
      <c r="E19" t="s">
        <v>216</v>
      </c>
    </row>
    <row r="20" spans="1:5" x14ac:dyDescent="0.25">
      <c r="A20" t="s">
        <v>134</v>
      </c>
      <c r="B20" t="s">
        <v>221</v>
      </c>
      <c r="C20" t="s">
        <v>222</v>
      </c>
      <c r="D20" t="s">
        <v>181</v>
      </c>
      <c r="E20" t="s">
        <v>216</v>
      </c>
    </row>
    <row r="21" spans="1:5" x14ac:dyDescent="0.25">
      <c r="A21" t="s">
        <v>129</v>
      </c>
      <c r="B21" t="s">
        <v>223</v>
      </c>
      <c r="C21" t="s">
        <v>224</v>
      </c>
      <c r="D21" t="s">
        <v>181</v>
      </c>
      <c r="E21" t="s">
        <v>216</v>
      </c>
    </row>
    <row r="22" spans="1:5" x14ac:dyDescent="0.25">
      <c r="A22" t="s">
        <v>136</v>
      </c>
      <c r="B22" t="s">
        <v>225</v>
      </c>
      <c r="C22" t="s">
        <v>226</v>
      </c>
      <c r="D22" t="s">
        <v>181</v>
      </c>
      <c r="E22" t="s">
        <v>216</v>
      </c>
    </row>
    <row r="23" spans="1:5" x14ac:dyDescent="0.25">
      <c r="A23" t="s">
        <v>137</v>
      </c>
      <c r="B23" t="s">
        <v>227</v>
      </c>
      <c r="C23" t="s">
        <v>228</v>
      </c>
      <c r="D23" t="s">
        <v>181</v>
      </c>
      <c r="E23" t="s">
        <v>216</v>
      </c>
    </row>
    <row r="24" spans="1:5" x14ac:dyDescent="0.25">
      <c r="A24" t="s">
        <v>130</v>
      </c>
      <c r="B24" t="s">
        <v>229</v>
      </c>
      <c r="C24" t="s">
        <v>229</v>
      </c>
      <c r="D24" t="s">
        <v>181</v>
      </c>
      <c r="E24" t="s">
        <v>216</v>
      </c>
    </row>
    <row r="25" spans="1:5" x14ac:dyDescent="0.25">
      <c r="A25" t="s">
        <v>128</v>
      </c>
      <c r="B25" t="s">
        <v>230</v>
      </c>
      <c r="C25" t="s">
        <v>231</v>
      </c>
      <c r="D25" t="s">
        <v>181</v>
      </c>
      <c r="E25" t="s">
        <v>232</v>
      </c>
    </row>
    <row r="26" spans="1:5" x14ac:dyDescent="0.25">
      <c r="A26" t="s">
        <v>131</v>
      </c>
      <c r="B26" t="s">
        <v>233</v>
      </c>
      <c r="C26" t="s">
        <v>234</v>
      </c>
      <c r="D26" t="s">
        <v>181</v>
      </c>
      <c r="E26" t="s">
        <v>232</v>
      </c>
    </row>
    <row r="27" spans="1:5" x14ac:dyDescent="0.25">
      <c r="A27" t="s">
        <v>135</v>
      </c>
      <c r="B27" t="s">
        <v>235</v>
      </c>
      <c r="C27" t="s">
        <v>236</v>
      </c>
      <c r="D27" t="s">
        <v>181</v>
      </c>
      <c r="E27" t="s">
        <v>216</v>
      </c>
    </row>
    <row r="28" spans="1:5" x14ac:dyDescent="0.25">
      <c r="A28" t="s">
        <v>153</v>
      </c>
      <c r="B28" t="s">
        <v>237</v>
      </c>
      <c r="C28" t="s">
        <v>238</v>
      </c>
      <c r="D28" t="s">
        <v>181</v>
      </c>
      <c r="E28" t="s">
        <v>216</v>
      </c>
    </row>
    <row r="29" spans="1:5" x14ac:dyDescent="0.25">
      <c r="A29" t="s">
        <v>141</v>
      </c>
      <c r="B29" t="s">
        <v>239</v>
      </c>
      <c r="C29" t="s">
        <v>240</v>
      </c>
      <c r="D29" t="s">
        <v>181</v>
      </c>
      <c r="E29" t="s">
        <v>216</v>
      </c>
    </row>
    <row r="30" spans="1:5" x14ac:dyDescent="0.25">
      <c r="A30" t="s">
        <v>158</v>
      </c>
      <c r="B30" t="s">
        <v>241</v>
      </c>
      <c r="C30" t="s">
        <v>242</v>
      </c>
      <c r="D30" t="s">
        <v>181</v>
      </c>
      <c r="E30" t="s">
        <v>182</v>
      </c>
    </row>
    <row r="31" spans="1:5" x14ac:dyDescent="0.25">
      <c r="A31" t="s">
        <v>155</v>
      </c>
      <c r="B31" t="s">
        <v>243</v>
      </c>
      <c r="C31" t="s">
        <v>244</v>
      </c>
      <c r="D31" t="s">
        <v>181</v>
      </c>
      <c r="E31" t="s">
        <v>245</v>
      </c>
    </row>
    <row r="32" spans="1:5" x14ac:dyDescent="0.25">
      <c r="A32" t="s">
        <v>159</v>
      </c>
      <c r="B32" t="s">
        <v>246</v>
      </c>
      <c r="C32" t="s">
        <v>247</v>
      </c>
      <c r="D32" t="s">
        <v>181</v>
      </c>
      <c r="E32" t="s">
        <v>205</v>
      </c>
    </row>
    <row r="33" spans="1:5" x14ac:dyDescent="0.25">
      <c r="A33" t="s">
        <v>144</v>
      </c>
      <c r="B33" t="s">
        <v>248</v>
      </c>
      <c r="C33" t="s">
        <v>249</v>
      </c>
      <c r="D33" t="s">
        <v>250</v>
      </c>
      <c r="E33" t="s">
        <v>251</v>
      </c>
    </row>
    <row r="34" spans="1:5" x14ac:dyDescent="0.25">
      <c r="A34" t="s">
        <v>152</v>
      </c>
      <c r="B34" t="s">
        <v>252</v>
      </c>
      <c r="C34" t="s">
        <v>253</v>
      </c>
      <c r="D34" t="s">
        <v>250</v>
      </c>
      <c r="E34" t="s">
        <v>251</v>
      </c>
    </row>
    <row r="35" spans="1:5" x14ac:dyDescent="0.25">
      <c r="A35" t="s">
        <v>114</v>
      </c>
      <c r="B35" t="s">
        <v>254</v>
      </c>
      <c r="C35" t="s">
        <v>255</v>
      </c>
      <c r="D35" t="s">
        <v>256</v>
      </c>
      <c r="E35" t="s">
        <v>257</v>
      </c>
    </row>
    <row r="36" spans="1:5" x14ac:dyDescent="0.25">
      <c r="A36" t="s">
        <v>125</v>
      </c>
      <c r="B36" t="s">
        <v>258</v>
      </c>
      <c r="C36" t="s">
        <v>259</v>
      </c>
      <c r="D36" t="s">
        <v>256</v>
      </c>
      <c r="E36" t="s">
        <v>257</v>
      </c>
    </row>
    <row r="37" spans="1:5" x14ac:dyDescent="0.25">
      <c r="A37" t="s">
        <v>119</v>
      </c>
      <c r="B37" t="s">
        <v>260</v>
      </c>
      <c r="C37" t="s">
        <v>261</v>
      </c>
      <c r="D37" t="s">
        <v>256</v>
      </c>
      <c r="E37" t="s">
        <v>257</v>
      </c>
    </row>
    <row r="38" spans="1:5" x14ac:dyDescent="0.25">
      <c r="A38" t="s">
        <v>123</v>
      </c>
      <c r="B38" t="s">
        <v>262</v>
      </c>
      <c r="C38" t="s">
        <v>263</v>
      </c>
      <c r="D38" t="s">
        <v>256</v>
      </c>
      <c r="E38" t="s">
        <v>264</v>
      </c>
    </row>
    <row r="39" spans="1:5" x14ac:dyDescent="0.25">
      <c r="A39" t="s">
        <v>122</v>
      </c>
      <c r="B39" t="s">
        <v>265</v>
      </c>
      <c r="C39" t="s">
        <v>266</v>
      </c>
      <c r="D39" t="s">
        <v>256</v>
      </c>
      <c r="E39" t="s">
        <v>264</v>
      </c>
    </row>
    <row r="40" spans="1:5" x14ac:dyDescent="0.25">
      <c r="A40" t="s">
        <v>118</v>
      </c>
      <c r="B40" t="s">
        <v>267</v>
      </c>
      <c r="C40" t="s">
        <v>268</v>
      </c>
      <c r="D40" t="s">
        <v>256</v>
      </c>
      <c r="E40" t="s">
        <v>264</v>
      </c>
    </row>
    <row r="41" spans="1:5" x14ac:dyDescent="0.25">
      <c r="A41" t="s">
        <v>124</v>
      </c>
      <c r="B41" t="s">
        <v>269</v>
      </c>
      <c r="C41" t="s">
        <v>270</v>
      </c>
      <c r="D41" t="s">
        <v>256</v>
      </c>
      <c r="E41" t="s">
        <v>257</v>
      </c>
    </row>
    <row r="42" spans="1:5" x14ac:dyDescent="0.25">
      <c r="A42" t="s">
        <v>120</v>
      </c>
      <c r="B42" t="s">
        <v>271</v>
      </c>
      <c r="C42" t="s">
        <v>272</v>
      </c>
      <c r="D42" t="s">
        <v>256</v>
      </c>
      <c r="E42" t="s">
        <v>257</v>
      </c>
    </row>
    <row r="43" spans="1:5" x14ac:dyDescent="0.25">
      <c r="A43" t="s">
        <v>126</v>
      </c>
      <c r="B43" t="s">
        <v>273</v>
      </c>
      <c r="C43" t="s">
        <v>274</v>
      </c>
      <c r="D43" t="s">
        <v>256</v>
      </c>
      <c r="E43" t="s">
        <v>257</v>
      </c>
    </row>
    <row r="44" spans="1:5" x14ac:dyDescent="0.25">
      <c r="A44" t="s">
        <v>121</v>
      </c>
      <c r="B44" t="s">
        <v>275</v>
      </c>
      <c r="C44" t="s">
        <v>276</v>
      </c>
      <c r="D44" t="s">
        <v>256</v>
      </c>
      <c r="E44" t="s">
        <v>257</v>
      </c>
    </row>
    <row r="45" spans="1:5" x14ac:dyDescent="0.25">
      <c r="A45" t="s">
        <v>104</v>
      </c>
      <c r="B45" t="s">
        <v>277</v>
      </c>
      <c r="C45" t="s">
        <v>278</v>
      </c>
      <c r="D45" t="s">
        <v>279</v>
      </c>
      <c r="E45" t="s">
        <v>280</v>
      </c>
    </row>
    <row r="46" spans="1:5" x14ac:dyDescent="0.25">
      <c r="A46" t="s">
        <v>109</v>
      </c>
      <c r="B46" t="s">
        <v>281</v>
      </c>
      <c r="C46" t="s">
        <v>282</v>
      </c>
      <c r="D46" t="s">
        <v>279</v>
      </c>
      <c r="E46" t="s">
        <v>280</v>
      </c>
    </row>
    <row r="47" spans="1:5" x14ac:dyDescent="0.25">
      <c r="A47" t="s">
        <v>98</v>
      </c>
      <c r="B47" t="s">
        <v>283</v>
      </c>
      <c r="C47" t="s">
        <v>284</v>
      </c>
      <c r="D47" t="s">
        <v>285</v>
      </c>
      <c r="E47" t="s">
        <v>286</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47"/>
  <sheetViews>
    <sheetView workbookViewId="0">
      <pane ySplit="1" topLeftCell="A2" activePane="bottomLeft" state="frozen"/>
      <selection pane="bottomLeft" activeCell="A8" sqref="A8"/>
    </sheetView>
  </sheetViews>
  <sheetFormatPr defaultRowHeight="15" x14ac:dyDescent="0.25"/>
  <cols>
    <col min="1" max="1" width="43.85546875" bestFit="1" customWidth="1"/>
    <col min="2" max="2" width="100.140625" bestFit="1" customWidth="1"/>
    <col min="3" max="3" width="46.5703125" bestFit="1" customWidth="1"/>
    <col min="4" max="4" width="255.7109375" bestFit="1" customWidth="1"/>
    <col min="5" max="5" width="105.5703125" bestFit="1" customWidth="1"/>
    <col min="6" max="6" width="85.7109375" bestFit="1" customWidth="1"/>
    <col min="7" max="7" width="18.42578125" bestFit="1" customWidth="1"/>
    <col min="8" max="8" width="18.28515625" bestFit="1" customWidth="1"/>
    <col min="9" max="9" width="23.85546875" bestFit="1" customWidth="1"/>
    <col min="10" max="10" width="20" bestFit="1" customWidth="1"/>
    <col min="11" max="11" width="76.28515625" bestFit="1" customWidth="1"/>
    <col min="12" max="12" width="16.85546875" bestFit="1" customWidth="1"/>
    <col min="13" max="13" width="26.85546875" bestFit="1" customWidth="1"/>
    <col min="14" max="14" width="18.28515625" bestFit="1" customWidth="1"/>
    <col min="15" max="15" width="28.28515625" bestFit="1" customWidth="1"/>
    <col min="16" max="17" width="27" bestFit="1" customWidth="1"/>
    <col min="18" max="18" width="192.7109375" bestFit="1" customWidth="1"/>
  </cols>
  <sheetData>
    <row r="1" spans="1:18" x14ac:dyDescent="0.25">
      <c r="A1" s="7" t="s">
        <v>37</v>
      </c>
      <c r="B1" s="7" t="s">
        <v>287</v>
      </c>
      <c r="C1" s="7" t="s">
        <v>288</v>
      </c>
      <c r="D1" s="7" t="s">
        <v>289</v>
      </c>
      <c r="E1" s="7" t="s">
        <v>290</v>
      </c>
      <c r="F1" s="7" t="s">
        <v>291</v>
      </c>
      <c r="G1" s="7" t="s">
        <v>292</v>
      </c>
      <c r="H1" s="7" t="s">
        <v>293</v>
      </c>
      <c r="I1" s="7" t="s">
        <v>294</v>
      </c>
      <c r="J1" s="7" t="s">
        <v>295</v>
      </c>
      <c r="K1" s="7" t="s">
        <v>296</v>
      </c>
      <c r="L1" s="7" t="s">
        <v>297</v>
      </c>
      <c r="M1" s="7" t="s">
        <v>298</v>
      </c>
      <c r="N1" s="7" t="s">
        <v>299</v>
      </c>
      <c r="O1" s="7" t="s">
        <v>300</v>
      </c>
      <c r="P1" s="4" t="s">
        <v>301</v>
      </c>
      <c r="Q1" s="7" t="s">
        <v>302</v>
      </c>
      <c r="R1" s="7" t="s">
        <v>303</v>
      </c>
    </row>
    <row r="2" spans="1:18" x14ac:dyDescent="0.25">
      <c r="A2" t="s">
        <v>147</v>
      </c>
      <c r="B2" t="s">
        <v>304</v>
      </c>
      <c r="C2" t="s">
        <v>305</v>
      </c>
      <c r="D2" t="s">
        <v>306</v>
      </c>
      <c r="E2" t="s">
        <v>307</v>
      </c>
      <c r="F2" t="s">
        <v>308</v>
      </c>
      <c r="K2" t="s">
        <v>309</v>
      </c>
      <c r="R2" t="s">
        <v>310</v>
      </c>
    </row>
    <row r="3" spans="1:18" x14ac:dyDescent="0.25">
      <c r="A3" t="s">
        <v>148</v>
      </c>
      <c r="B3" t="s">
        <v>304</v>
      </c>
      <c r="C3" t="s">
        <v>305</v>
      </c>
      <c r="D3" t="s">
        <v>306</v>
      </c>
      <c r="E3" t="s">
        <v>311</v>
      </c>
      <c r="F3" t="s">
        <v>312</v>
      </c>
      <c r="K3" t="s">
        <v>309</v>
      </c>
      <c r="R3" t="s">
        <v>313</v>
      </c>
    </row>
    <row r="4" spans="1:18" x14ac:dyDescent="0.25">
      <c r="A4" t="s">
        <v>149</v>
      </c>
      <c r="B4" t="s">
        <v>304</v>
      </c>
      <c r="C4" t="s">
        <v>305</v>
      </c>
      <c r="D4" t="s">
        <v>314</v>
      </c>
      <c r="E4" t="s">
        <v>307</v>
      </c>
      <c r="F4" t="s">
        <v>315</v>
      </c>
      <c r="K4" t="s">
        <v>309</v>
      </c>
      <c r="R4" t="s">
        <v>316</v>
      </c>
    </row>
    <row r="5" spans="1:18" x14ac:dyDescent="0.25">
      <c r="A5" t="s">
        <v>151</v>
      </c>
      <c r="B5" t="s">
        <v>304</v>
      </c>
      <c r="C5" t="s">
        <v>305</v>
      </c>
      <c r="D5" t="s">
        <v>317</v>
      </c>
      <c r="E5" t="s">
        <v>318</v>
      </c>
      <c r="F5" t="s">
        <v>319</v>
      </c>
      <c r="K5" t="s">
        <v>309</v>
      </c>
      <c r="R5" t="s">
        <v>320</v>
      </c>
    </row>
    <row r="6" spans="1:18" x14ac:dyDescent="0.25">
      <c r="A6" t="s">
        <v>150</v>
      </c>
      <c r="B6" t="s">
        <v>304</v>
      </c>
      <c r="C6" t="s">
        <v>305</v>
      </c>
      <c r="D6" t="s">
        <v>321</v>
      </c>
      <c r="E6" t="s">
        <v>322</v>
      </c>
      <c r="F6" t="s">
        <v>323</v>
      </c>
      <c r="K6" t="s">
        <v>309</v>
      </c>
      <c r="R6" t="s">
        <v>324</v>
      </c>
    </row>
    <row r="7" spans="1:18" x14ac:dyDescent="0.25">
      <c r="A7" t="s">
        <v>138</v>
      </c>
      <c r="B7" t="s">
        <v>325</v>
      </c>
      <c r="C7" t="s">
        <v>305</v>
      </c>
      <c r="D7" t="s">
        <v>326</v>
      </c>
      <c r="E7" t="s">
        <v>327</v>
      </c>
      <c r="F7" t="s">
        <v>328</v>
      </c>
      <c r="K7" t="s">
        <v>309</v>
      </c>
      <c r="R7" t="s">
        <v>329</v>
      </c>
    </row>
    <row r="8" spans="1:18" x14ac:dyDescent="0.25">
      <c r="A8" t="s">
        <v>140</v>
      </c>
      <c r="B8" t="s">
        <v>330</v>
      </c>
      <c r="C8" t="s">
        <v>305</v>
      </c>
      <c r="D8" t="s">
        <v>331</v>
      </c>
      <c r="E8" t="s">
        <v>332</v>
      </c>
      <c r="F8" t="s">
        <v>333</v>
      </c>
      <c r="K8" t="s">
        <v>309</v>
      </c>
      <c r="R8" t="s">
        <v>334</v>
      </c>
    </row>
    <row r="9" spans="1:18" x14ac:dyDescent="0.25">
      <c r="A9" t="s">
        <v>139</v>
      </c>
      <c r="B9" t="s">
        <v>325</v>
      </c>
      <c r="C9" t="s">
        <v>305</v>
      </c>
      <c r="D9" t="s">
        <v>335</v>
      </c>
      <c r="E9" t="s">
        <v>336</v>
      </c>
      <c r="F9" t="s">
        <v>337</v>
      </c>
      <c r="K9" t="s">
        <v>338</v>
      </c>
      <c r="R9" t="s">
        <v>339</v>
      </c>
    </row>
    <row r="10" spans="1:18" x14ac:dyDescent="0.25">
      <c r="A10" t="s">
        <v>143</v>
      </c>
      <c r="B10" t="s">
        <v>340</v>
      </c>
      <c r="C10" t="s">
        <v>305</v>
      </c>
      <c r="D10" t="s">
        <v>341</v>
      </c>
      <c r="E10" t="s">
        <v>342</v>
      </c>
      <c r="F10" t="s">
        <v>343</v>
      </c>
      <c r="K10" t="s">
        <v>344</v>
      </c>
      <c r="R10" t="s">
        <v>345</v>
      </c>
    </row>
    <row r="11" spans="1:18" x14ac:dyDescent="0.25">
      <c r="A11" t="s">
        <v>157</v>
      </c>
      <c r="B11" t="s">
        <v>340</v>
      </c>
      <c r="C11" t="s">
        <v>305</v>
      </c>
      <c r="D11" t="s">
        <v>346</v>
      </c>
      <c r="E11" t="s">
        <v>347</v>
      </c>
      <c r="F11" t="s">
        <v>348</v>
      </c>
      <c r="K11" t="s">
        <v>344</v>
      </c>
      <c r="R11" t="s">
        <v>345</v>
      </c>
    </row>
    <row r="12" spans="1:18" x14ac:dyDescent="0.25">
      <c r="A12" t="s">
        <v>154</v>
      </c>
      <c r="B12" t="s">
        <v>349</v>
      </c>
      <c r="C12" t="s">
        <v>305</v>
      </c>
      <c r="D12" t="s">
        <v>350</v>
      </c>
      <c r="E12" t="s">
        <v>351</v>
      </c>
      <c r="F12" t="s">
        <v>352</v>
      </c>
      <c r="K12" t="s">
        <v>353</v>
      </c>
      <c r="R12" t="s">
        <v>354</v>
      </c>
    </row>
    <row r="13" spans="1:18" x14ac:dyDescent="0.25">
      <c r="A13" t="s">
        <v>142</v>
      </c>
      <c r="B13" t="s">
        <v>355</v>
      </c>
      <c r="C13" t="s">
        <v>305</v>
      </c>
      <c r="D13" t="s">
        <v>356</v>
      </c>
      <c r="E13" t="s">
        <v>357</v>
      </c>
      <c r="F13" t="s">
        <v>352</v>
      </c>
      <c r="K13" t="s">
        <v>358</v>
      </c>
      <c r="R13" t="s">
        <v>359</v>
      </c>
    </row>
    <row r="14" spans="1:18" x14ac:dyDescent="0.25">
      <c r="A14" t="s">
        <v>145</v>
      </c>
      <c r="B14" t="s">
        <v>360</v>
      </c>
      <c r="C14" t="s">
        <v>305</v>
      </c>
      <c r="D14" t="s">
        <v>361</v>
      </c>
      <c r="E14" t="s">
        <v>362</v>
      </c>
      <c r="F14" t="s">
        <v>363</v>
      </c>
      <c r="K14" t="s">
        <v>309</v>
      </c>
      <c r="R14" t="s">
        <v>364</v>
      </c>
    </row>
    <row r="15" spans="1:18" x14ac:dyDescent="0.25">
      <c r="A15" t="s">
        <v>146</v>
      </c>
      <c r="B15" t="s">
        <v>365</v>
      </c>
      <c r="C15" t="s">
        <v>305</v>
      </c>
      <c r="D15" t="s">
        <v>366</v>
      </c>
      <c r="E15" t="s">
        <v>367</v>
      </c>
      <c r="F15" t="s">
        <v>368</v>
      </c>
      <c r="K15" t="s">
        <v>309</v>
      </c>
      <c r="R15" t="s">
        <v>369</v>
      </c>
    </row>
    <row r="16" spans="1:18" x14ac:dyDescent="0.25">
      <c r="A16" t="s">
        <v>156</v>
      </c>
      <c r="B16" t="s">
        <v>370</v>
      </c>
      <c r="C16" t="s">
        <v>305</v>
      </c>
      <c r="D16" t="s">
        <v>371</v>
      </c>
      <c r="E16" t="s">
        <v>372</v>
      </c>
      <c r="F16" t="s">
        <v>373</v>
      </c>
      <c r="K16" t="s">
        <v>374</v>
      </c>
      <c r="R16" t="s">
        <v>375</v>
      </c>
    </row>
    <row r="17" spans="1:18" x14ac:dyDescent="0.25">
      <c r="A17" t="s">
        <v>127</v>
      </c>
      <c r="B17" t="s">
        <v>376</v>
      </c>
      <c r="C17" t="s">
        <v>305</v>
      </c>
      <c r="D17" t="s">
        <v>377</v>
      </c>
      <c r="E17" t="s">
        <v>127</v>
      </c>
      <c r="F17" t="s">
        <v>378</v>
      </c>
      <c r="K17" t="s">
        <v>309</v>
      </c>
      <c r="R17" t="s">
        <v>379</v>
      </c>
    </row>
    <row r="18" spans="1:18" x14ac:dyDescent="0.25">
      <c r="A18" t="s">
        <v>132</v>
      </c>
      <c r="B18" t="s">
        <v>380</v>
      </c>
      <c r="C18" t="s">
        <v>305</v>
      </c>
      <c r="D18" t="s">
        <v>381</v>
      </c>
      <c r="E18" t="s">
        <v>382</v>
      </c>
      <c r="F18" t="s">
        <v>383</v>
      </c>
      <c r="K18" t="s">
        <v>309</v>
      </c>
      <c r="R18" t="s">
        <v>384</v>
      </c>
    </row>
    <row r="19" spans="1:18" x14ac:dyDescent="0.25">
      <c r="A19" t="s">
        <v>133</v>
      </c>
      <c r="B19" t="s">
        <v>380</v>
      </c>
      <c r="C19" t="s">
        <v>305</v>
      </c>
      <c r="D19" t="s">
        <v>385</v>
      </c>
      <c r="E19" t="s">
        <v>382</v>
      </c>
      <c r="F19" t="s">
        <v>386</v>
      </c>
      <c r="K19" t="s">
        <v>309</v>
      </c>
      <c r="R19" t="s">
        <v>384</v>
      </c>
    </row>
    <row r="20" spans="1:18" x14ac:dyDescent="0.25">
      <c r="A20" t="s">
        <v>134</v>
      </c>
      <c r="B20" t="s">
        <v>380</v>
      </c>
      <c r="C20" t="s">
        <v>305</v>
      </c>
      <c r="D20" t="s">
        <v>387</v>
      </c>
      <c r="E20" t="s">
        <v>382</v>
      </c>
      <c r="F20" t="s">
        <v>388</v>
      </c>
      <c r="K20" t="s">
        <v>309</v>
      </c>
      <c r="R20" t="s">
        <v>384</v>
      </c>
    </row>
    <row r="21" spans="1:18" x14ac:dyDescent="0.25">
      <c r="A21" t="s">
        <v>129</v>
      </c>
      <c r="B21" t="s">
        <v>380</v>
      </c>
      <c r="C21" t="s">
        <v>305</v>
      </c>
      <c r="D21" t="s">
        <v>389</v>
      </c>
      <c r="E21" t="s">
        <v>390</v>
      </c>
      <c r="F21" t="s">
        <v>391</v>
      </c>
      <c r="K21" t="s">
        <v>309</v>
      </c>
      <c r="R21" t="s">
        <v>392</v>
      </c>
    </row>
    <row r="22" spans="1:18" x14ac:dyDescent="0.25">
      <c r="A22" t="s">
        <v>136</v>
      </c>
      <c r="B22" t="s">
        <v>380</v>
      </c>
      <c r="C22" t="s">
        <v>305</v>
      </c>
      <c r="D22" t="s">
        <v>393</v>
      </c>
      <c r="E22" t="s">
        <v>394</v>
      </c>
      <c r="F22" t="s">
        <v>395</v>
      </c>
      <c r="K22" t="s">
        <v>309</v>
      </c>
      <c r="R22" t="s">
        <v>396</v>
      </c>
    </row>
    <row r="23" spans="1:18" x14ac:dyDescent="0.25">
      <c r="A23" t="s">
        <v>137</v>
      </c>
      <c r="B23" t="s">
        <v>380</v>
      </c>
      <c r="C23" t="s">
        <v>305</v>
      </c>
      <c r="D23" t="s">
        <v>397</v>
      </c>
      <c r="E23" t="s">
        <v>398</v>
      </c>
      <c r="F23" t="s">
        <v>399</v>
      </c>
      <c r="K23" t="s">
        <v>309</v>
      </c>
      <c r="R23" t="s">
        <v>400</v>
      </c>
    </row>
    <row r="24" spans="1:18" x14ac:dyDescent="0.25">
      <c r="A24" t="s">
        <v>130</v>
      </c>
      <c r="B24" t="s">
        <v>380</v>
      </c>
      <c r="C24" t="s">
        <v>305</v>
      </c>
      <c r="D24" t="s">
        <v>401</v>
      </c>
      <c r="E24" t="s">
        <v>402</v>
      </c>
      <c r="F24" t="s">
        <v>403</v>
      </c>
      <c r="K24" t="s">
        <v>309</v>
      </c>
      <c r="R24" t="s">
        <v>396</v>
      </c>
    </row>
    <row r="25" spans="1:18" x14ac:dyDescent="0.25">
      <c r="A25" t="s">
        <v>128</v>
      </c>
      <c r="B25" t="s">
        <v>404</v>
      </c>
      <c r="C25" t="s">
        <v>305</v>
      </c>
      <c r="D25" t="s">
        <v>405</v>
      </c>
      <c r="E25" t="s">
        <v>406</v>
      </c>
      <c r="F25" t="s">
        <v>407</v>
      </c>
      <c r="K25" t="s">
        <v>309</v>
      </c>
      <c r="R25" t="s">
        <v>408</v>
      </c>
    </row>
    <row r="26" spans="1:18" x14ac:dyDescent="0.25">
      <c r="A26" t="s">
        <v>131</v>
      </c>
      <c r="B26" t="s">
        <v>404</v>
      </c>
      <c r="C26" t="s">
        <v>305</v>
      </c>
      <c r="D26" t="s">
        <v>409</v>
      </c>
      <c r="E26" t="s">
        <v>410</v>
      </c>
      <c r="F26" t="s">
        <v>411</v>
      </c>
      <c r="K26" t="s">
        <v>309</v>
      </c>
      <c r="R26" t="s">
        <v>412</v>
      </c>
    </row>
    <row r="27" spans="1:18" x14ac:dyDescent="0.25">
      <c r="A27" t="s">
        <v>135</v>
      </c>
      <c r="B27" t="s">
        <v>413</v>
      </c>
      <c r="C27" t="s">
        <v>305</v>
      </c>
      <c r="D27" t="s">
        <v>414</v>
      </c>
      <c r="E27" t="s">
        <v>415</v>
      </c>
      <c r="F27" t="s">
        <v>416</v>
      </c>
      <c r="K27" t="s">
        <v>309</v>
      </c>
      <c r="R27" t="s">
        <v>417</v>
      </c>
    </row>
    <row r="28" spans="1:18" x14ac:dyDescent="0.25">
      <c r="A28" t="s">
        <v>153</v>
      </c>
      <c r="B28" t="s">
        <v>418</v>
      </c>
      <c r="C28" t="s">
        <v>305</v>
      </c>
      <c r="D28" t="s">
        <v>419</v>
      </c>
      <c r="E28" t="s">
        <v>420</v>
      </c>
      <c r="F28" t="s">
        <v>421</v>
      </c>
      <c r="K28" t="s">
        <v>309</v>
      </c>
      <c r="R28" t="s">
        <v>422</v>
      </c>
    </row>
    <row r="29" spans="1:18" x14ac:dyDescent="0.25">
      <c r="A29" t="s">
        <v>141</v>
      </c>
      <c r="B29" t="s">
        <v>418</v>
      </c>
      <c r="C29" t="s">
        <v>305</v>
      </c>
      <c r="D29" t="s">
        <v>423</v>
      </c>
      <c r="E29" t="s">
        <v>424</v>
      </c>
      <c r="F29" t="s">
        <v>421</v>
      </c>
      <c r="K29" t="s">
        <v>309</v>
      </c>
      <c r="R29" t="s">
        <v>425</v>
      </c>
    </row>
    <row r="30" spans="1:18" x14ac:dyDescent="0.25">
      <c r="A30" t="s">
        <v>158</v>
      </c>
      <c r="B30" t="s">
        <v>426</v>
      </c>
      <c r="C30" t="s">
        <v>305</v>
      </c>
      <c r="D30" t="s">
        <v>427</v>
      </c>
      <c r="E30" t="s">
        <v>428</v>
      </c>
      <c r="F30" t="s">
        <v>429</v>
      </c>
      <c r="K30" t="s">
        <v>309</v>
      </c>
      <c r="R30" t="s">
        <v>430</v>
      </c>
    </row>
    <row r="31" spans="1:18" x14ac:dyDescent="0.25">
      <c r="A31" t="s">
        <v>155</v>
      </c>
      <c r="B31" t="s">
        <v>340</v>
      </c>
      <c r="C31" t="s">
        <v>305</v>
      </c>
      <c r="D31" t="s">
        <v>431</v>
      </c>
      <c r="E31" t="s">
        <v>432</v>
      </c>
      <c r="F31" t="s">
        <v>433</v>
      </c>
      <c r="K31" t="s">
        <v>309</v>
      </c>
      <c r="R31" t="s">
        <v>434</v>
      </c>
    </row>
    <row r="32" spans="1:18" x14ac:dyDescent="0.25">
      <c r="A32" t="s">
        <v>159</v>
      </c>
      <c r="B32" t="s">
        <v>435</v>
      </c>
      <c r="C32" t="s">
        <v>305</v>
      </c>
      <c r="D32" t="s">
        <v>436</v>
      </c>
      <c r="E32" t="s">
        <v>437</v>
      </c>
      <c r="F32" t="s">
        <v>438</v>
      </c>
      <c r="K32" t="s">
        <v>439</v>
      </c>
      <c r="R32" t="s">
        <v>440</v>
      </c>
    </row>
    <row r="33" spans="1:18" x14ac:dyDescent="0.25">
      <c r="A33" t="s">
        <v>144</v>
      </c>
      <c r="B33" t="s">
        <v>441</v>
      </c>
      <c r="C33" t="s">
        <v>305</v>
      </c>
      <c r="D33" t="s">
        <v>442</v>
      </c>
      <c r="E33" t="s">
        <v>443</v>
      </c>
      <c r="F33" t="s">
        <v>444</v>
      </c>
      <c r="K33" t="s">
        <v>344</v>
      </c>
      <c r="R33" t="s">
        <v>445</v>
      </c>
    </row>
    <row r="34" spans="1:18" x14ac:dyDescent="0.25">
      <c r="A34" t="s">
        <v>152</v>
      </c>
      <c r="B34" t="s">
        <v>446</v>
      </c>
      <c r="C34" t="s">
        <v>305</v>
      </c>
      <c r="D34" t="s">
        <v>447</v>
      </c>
      <c r="E34" t="s">
        <v>448</v>
      </c>
      <c r="F34" t="s">
        <v>444</v>
      </c>
      <c r="K34" t="s">
        <v>344</v>
      </c>
      <c r="R34" t="s">
        <v>449</v>
      </c>
    </row>
    <row r="35" spans="1:18" x14ac:dyDescent="0.25">
      <c r="A35" t="s">
        <v>114</v>
      </c>
      <c r="D35" t="s">
        <v>450</v>
      </c>
      <c r="E35" t="s">
        <v>114</v>
      </c>
      <c r="F35" t="s">
        <v>451</v>
      </c>
      <c r="K35" t="s">
        <v>452</v>
      </c>
    </row>
    <row r="36" spans="1:18" x14ac:dyDescent="0.25">
      <c r="A36" t="s">
        <v>125</v>
      </c>
      <c r="D36" t="s">
        <v>453</v>
      </c>
      <c r="E36" t="s">
        <v>125</v>
      </c>
      <c r="F36" t="s">
        <v>454</v>
      </c>
      <c r="K36" t="s">
        <v>452</v>
      </c>
    </row>
    <row r="37" spans="1:18" x14ac:dyDescent="0.25">
      <c r="A37" t="s">
        <v>119</v>
      </c>
      <c r="D37" t="s">
        <v>455</v>
      </c>
      <c r="E37" t="s">
        <v>119</v>
      </c>
      <c r="F37" t="s">
        <v>429</v>
      </c>
      <c r="K37" t="s">
        <v>452</v>
      </c>
    </row>
    <row r="38" spans="1:18" x14ac:dyDescent="0.25">
      <c r="A38" t="s">
        <v>123</v>
      </c>
      <c r="D38" t="s">
        <v>456</v>
      </c>
      <c r="E38" t="s">
        <v>123</v>
      </c>
      <c r="F38" t="s">
        <v>457</v>
      </c>
      <c r="K38" t="s">
        <v>452</v>
      </c>
    </row>
    <row r="39" spans="1:18" x14ac:dyDescent="0.25">
      <c r="A39" t="s">
        <v>122</v>
      </c>
      <c r="D39" t="s">
        <v>458</v>
      </c>
      <c r="E39" t="s">
        <v>122</v>
      </c>
      <c r="F39" t="s">
        <v>457</v>
      </c>
      <c r="K39" t="s">
        <v>452</v>
      </c>
    </row>
    <row r="40" spans="1:18" x14ac:dyDescent="0.25">
      <c r="A40" t="s">
        <v>118</v>
      </c>
      <c r="D40" t="s">
        <v>459</v>
      </c>
      <c r="E40" t="s">
        <v>118</v>
      </c>
      <c r="F40" t="s">
        <v>368</v>
      </c>
      <c r="K40" t="s">
        <v>452</v>
      </c>
    </row>
    <row r="41" spans="1:18" x14ac:dyDescent="0.25">
      <c r="A41" t="s">
        <v>124</v>
      </c>
      <c r="D41" t="s">
        <v>460</v>
      </c>
      <c r="E41" t="s">
        <v>124</v>
      </c>
      <c r="F41" t="s">
        <v>368</v>
      </c>
      <c r="K41" t="s">
        <v>452</v>
      </c>
    </row>
    <row r="42" spans="1:18" x14ac:dyDescent="0.25">
      <c r="A42" t="s">
        <v>120</v>
      </c>
      <c r="D42" t="s">
        <v>461</v>
      </c>
      <c r="E42" t="s">
        <v>120</v>
      </c>
      <c r="F42" t="s">
        <v>462</v>
      </c>
      <c r="K42" t="s">
        <v>452</v>
      </c>
    </row>
    <row r="43" spans="1:18" x14ac:dyDescent="0.25">
      <c r="A43" t="s">
        <v>126</v>
      </c>
      <c r="D43" t="s">
        <v>463</v>
      </c>
      <c r="E43" t="s">
        <v>126</v>
      </c>
      <c r="F43" t="s">
        <v>368</v>
      </c>
      <c r="K43" t="s">
        <v>452</v>
      </c>
    </row>
    <row r="44" spans="1:18" x14ac:dyDescent="0.25">
      <c r="A44" t="s">
        <v>121</v>
      </c>
      <c r="D44" t="s">
        <v>464</v>
      </c>
      <c r="E44" t="s">
        <v>465</v>
      </c>
      <c r="F44" t="s">
        <v>466</v>
      </c>
      <c r="K44" t="s">
        <v>452</v>
      </c>
    </row>
    <row r="45" spans="1:18" x14ac:dyDescent="0.25">
      <c r="A45" t="s">
        <v>104</v>
      </c>
      <c r="D45" t="s">
        <v>467</v>
      </c>
      <c r="E45" t="s">
        <v>104</v>
      </c>
      <c r="F45" t="s">
        <v>429</v>
      </c>
      <c r="K45" t="s">
        <v>468</v>
      </c>
    </row>
    <row r="46" spans="1:18" x14ac:dyDescent="0.25">
      <c r="A46" t="s">
        <v>109</v>
      </c>
      <c r="D46" t="s">
        <v>469</v>
      </c>
      <c r="E46" t="s">
        <v>109</v>
      </c>
      <c r="F46" t="s">
        <v>454</v>
      </c>
      <c r="K46" t="s">
        <v>468</v>
      </c>
    </row>
    <row r="47" spans="1:18" x14ac:dyDescent="0.25">
      <c r="A47" t="s">
        <v>98</v>
      </c>
      <c r="D47" t="s">
        <v>470</v>
      </c>
      <c r="E47" t="s">
        <v>98</v>
      </c>
      <c r="F47" t="s">
        <v>368</v>
      </c>
      <c r="K47" t="s">
        <v>471</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workbookViewId="0">
      <pane ySplit="1" topLeftCell="A2" activePane="bottomLeft" state="frozen"/>
      <selection pane="bottomLeft"/>
    </sheetView>
  </sheetViews>
  <sheetFormatPr defaultRowHeight="15" x14ac:dyDescent="0.25"/>
  <cols>
    <col min="1" max="1" width="12" customWidth="1"/>
    <col min="2" max="2" width="38" customWidth="1"/>
    <col min="3" max="3" width="14" customWidth="1"/>
    <col min="4" max="4" width="18" customWidth="1"/>
    <col min="5" max="5" width="22" customWidth="1"/>
    <col min="6" max="6" width="12" customWidth="1"/>
  </cols>
  <sheetData>
    <row r="1" spans="1:6" x14ac:dyDescent="0.25">
      <c r="A1" s="4" t="s">
        <v>93</v>
      </c>
      <c r="B1" s="4" t="s">
        <v>37</v>
      </c>
      <c r="C1" s="4" t="s">
        <v>96</v>
      </c>
      <c r="D1" s="4" t="s">
        <v>472</v>
      </c>
      <c r="E1" s="4" t="s">
        <v>473</v>
      </c>
      <c r="F1" s="4" t="s">
        <v>474</v>
      </c>
    </row>
    <row r="2" spans="1:6" x14ac:dyDescent="0.25">
      <c r="A2" t="s">
        <v>99</v>
      </c>
      <c r="B2" t="s">
        <v>147</v>
      </c>
      <c r="C2" t="s">
        <v>116</v>
      </c>
    </row>
    <row r="3" spans="1:6" x14ac:dyDescent="0.25">
      <c r="A3" t="s">
        <v>99</v>
      </c>
      <c r="B3" t="s">
        <v>148</v>
      </c>
      <c r="C3" t="s">
        <v>116</v>
      </c>
    </row>
    <row r="4" spans="1:6" x14ac:dyDescent="0.25">
      <c r="A4" t="s">
        <v>99</v>
      </c>
      <c r="B4" t="s">
        <v>149</v>
      </c>
      <c r="C4" t="s">
        <v>116</v>
      </c>
    </row>
    <row r="5" spans="1:6" x14ac:dyDescent="0.25">
      <c r="A5" t="s">
        <v>99</v>
      </c>
      <c r="B5" t="s">
        <v>151</v>
      </c>
      <c r="C5" t="s">
        <v>116</v>
      </c>
    </row>
    <row r="6" spans="1:6" x14ac:dyDescent="0.25">
      <c r="A6" t="s">
        <v>99</v>
      </c>
      <c r="B6" t="s">
        <v>150</v>
      </c>
      <c r="C6" t="s">
        <v>116</v>
      </c>
    </row>
    <row r="7" spans="1:6" x14ac:dyDescent="0.25">
      <c r="A7" t="s">
        <v>99</v>
      </c>
      <c r="B7" t="s">
        <v>138</v>
      </c>
      <c r="C7" t="s">
        <v>116</v>
      </c>
    </row>
    <row r="8" spans="1:6" x14ac:dyDescent="0.25">
      <c r="A8" t="s">
        <v>99</v>
      </c>
      <c r="B8" t="s">
        <v>140</v>
      </c>
      <c r="C8" t="s">
        <v>116</v>
      </c>
    </row>
    <row r="9" spans="1:6" x14ac:dyDescent="0.25">
      <c r="A9" t="s">
        <v>99</v>
      </c>
      <c r="B9" t="s">
        <v>139</v>
      </c>
      <c r="C9" t="s">
        <v>116</v>
      </c>
    </row>
    <row r="10" spans="1:6" x14ac:dyDescent="0.25">
      <c r="A10" t="s">
        <v>99</v>
      </c>
      <c r="B10" t="s">
        <v>143</v>
      </c>
      <c r="C10" t="s">
        <v>116</v>
      </c>
    </row>
    <row r="11" spans="1:6" x14ac:dyDescent="0.25">
      <c r="A11" t="s">
        <v>99</v>
      </c>
      <c r="B11" t="s">
        <v>157</v>
      </c>
      <c r="C11" t="s">
        <v>116</v>
      </c>
    </row>
    <row r="12" spans="1:6" x14ac:dyDescent="0.25">
      <c r="A12" t="s">
        <v>99</v>
      </c>
      <c r="B12" t="s">
        <v>154</v>
      </c>
      <c r="C12" t="s">
        <v>116</v>
      </c>
    </row>
    <row r="13" spans="1:6" x14ac:dyDescent="0.25">
      <c r="A13" t="s">
        <v>99</v>
      </c>
      <c r="B13" t="s">
        <v>142</v>
      </c>
      <c r="C13" t="s">
        <v>116</v>
      </c>
    </row>
    <row r="14" spans="1:6" x14ac:dyDescent="0.25">
      <c r="A14" t="s">
        <v>99</v>
      </c>
      <c r="B14" t="s">
        <v>145</v>
      </c>
      <c r="C14" t="s">
        <v>116</v>
      </c>
    </row>
    <row r="15" spans="1:6" x14ac:dyDescent="0.25">
      <c r="A15" t="s">
        <v>99</v>
      </c>
      <c r="B15" t="s">
        <v>146</v>
      </c>
      <c r="C15" t="s">
        <v>116</v>
      </c>
    </row>
    <row r="16" spans="1:6" x14ac:dyDescent="0.25">
      <c r="A16" t="s">
        <v>99</v>
      </c>
      <c r="B16" t="s">
        <v>156</v>
      </c>
      <c r="C16" t="s">
        <v>116</v>
      </c>
    </row>
    <row r="17" spans="1:3" x14ac:dyDescent="0.25">
      <c r="A17" t="s">
        <v>99</v>
      </c>
      <c r="B17" t="s">
        <v>127</v>
      </c>
      <c r="C17" t="s">
        <v>116</v>
      </c>
    </row>
    <row r="18" spans="1:3" x14ac:dyDescent="0.25">
      <c r="A18" t="s">
        <v>99</v>
      </c>
      <c r="B18" t="s">
        <v>132</v>
      </c>
      <c r="C18" t="s">
        <v>116</v>
      </c>
    </row>
    <row r="19" spans="1:3" x14ac:dyDescent="0.25">
      <c r="A19" t="s">
        <v>99</v>
      </c>
      <c r="B19" t="s">
        <v>133</v>
      </c>
      <c r="C19" t="s">
        <v>116</v>
      </c>
    </row>
    <row r="20" spans="1:3" x14ac:dyDescent="0.25">
      <c r="A20" t="s">
        <v>99</v>
      </c>
      <c r="B20" t="s">
        <v>134</v>
      </c>
      <c r="C20" t="s">
        <v>116</v>
      </c>
    </row>
    <row r="21" spans="1:3" x14ac:dyDescent="0.25">
      <c r="A21" t="s">
        <v>99</v>
      </c>
      <c r="B21" t="s">
        <v>129</v>
      </c>
      <c r="C21" t="s">
        <v>116</v>
      </c>
    </row>
    <row r="22" spans="1:3" x14ac:dyDescent="0.25">
      <c r="A22" t="s">
        <v>99</v>
      </c>
      <c r="B22" t="s">
        <v>136</v>
      </c>
      <c r="C22" t="s">
        <v>116</v>
      </c>
    </row>
    <row r="23" spans="1:3" x14ac:dyDescent="0.25">
      <c r="A23" t="s">
        <v>99</v>
      </c>
      <c r="B23" t="s">
        <v>137</v>
      </c>
      <c r="C23" t="s">
        <v>116</v>
      </c>
    </row>
    <row r="24" spans="1:3" x14ac:dyDescent="0.25">
      <c r="A24" t="s">
        <v>99</v>
      </c>
      <c r="B24" t="s">
        <v>130</v>
      </c>
      <c r="C24" t="s">
        <v>116</v>
      </c>
    </row>
    <row r="25" spans="1:3" x14ac:dyDescent="0.25">
      <c r="A25" t="s">
        <v>99</v>
      </c>
      <c r="B25" t="s">
        <v>128</v>
      </c>
      <c r="C25" t="s">
        <v>116</v>
      </c>
    </row>
    <row r="26" spans="1:3" x14ac:dyDescent="0.25">
      <c r="A26" t="s">
        <v>99</v>
      </c>
      <c r="B26" t="s">
        <v>131</v>
      </c>
      <c r="C26" t="s">
        <v>116</v>
      </c>
    </row>
    <row r="27" spans="1:3" x14ac:dyDescent="0.25">
      <c r="A27" t="s">
        <v>99</v>
      </c>
      <c r="B27" t="s">
        <v>135</v>
      </c>
      <c r="C27" t="s">
        <v>116</v>
      </c>
    </row>
    <row r="28" spans="1:3" x14ac:dyDescent="0.25">
      <c r="A28" t="s">
        <v>99</v>
      </c>
      <c r="B28" t="s">
        <v>153</v>
      </c>
      <c r="C28" t="s">
        <v>116</v>
      </c>
    </row>
    <row r="29" spans="1:3" x14ac:dyDescent="0.25">
      <c r="A29" t="s">
        <v>99</v>
      </c>
      <c r="B29" t="s">
        <v>141</v>
      </c>
      <c r="C29" t="s">
        <v>116</v>
      </c>
    </row>
    <row r="30" spans="1:3" x14ac:dyDescent="0.25">
      <c r="A30" t="s">
        <v>99</v>
      </c>
      <c r="B30" t="s">
        <v>158</v>
      </c>
      <c r="C30" t="s">
        <v>116</v>
      </c>
    </row>
    <row r="31" spans="1:3" x14ac:dyDescent="0.25">
      <c r="A31" t="s">
        <v>99</v>
      </c>
      <c r="B31" t="s">
        <v>155</v>
      </c>
      <c r="C31" t="s">
        <v>116</v>
      </c>
    </row>
    <row r="32" spans="1:3" x14ac:dyDescent="0.25">
      <c r="A32" t="s">
        <v>99</v>
      </c>
      <c r="B32" t="s">
        <v>159</v>
      </c>
      <c r="C32" t="s">
        <v>116</v>
      </c>
    </row>
    <row r="33" spans="1:3" x14ac:dyDescent="0.25">
      <c r="A33" t="s">
        <v>99</v>
      </c>
      <c r="B33" t="s">
        <v>144</v>
      </c>
      <c r="C33" t="s">
        <v>116</v>
      </c>
    </row>
    <row r="34" spans="1:3" x14ac:dyDescent="0.25">
      <c r="A34" t="s">
        <v>99</v>
      </c>
      <c r="B34" t="s">
        <v>152</v>
      </c>
      <c r="C34" t="s">
        <v>116</v>
      </c>
    </row>
    <row r="35" spans="1:3" x14ac:dyDescent="0.25">
      <c r="A35" t="s">
        <v>99</v>
      </c>
      <c r="B35" t="s">
        <v>114</v>
      </c>
      <c r="C35" t="s">
        <v>116</v>
      </c>
    </row>
    <row r="36" spans="1:3" x14ac:dyDescent="0.25">
      <c r="A36" t="s">
        <v>99</v>
      </c>
      <c r="B36" t="s">
        <v>125</v>
      </c>
      <c r="C36" t="s">
        <v>116</v>
      </c>
    </row>
    <row r="37" spans="1:3" x14ac:dyDescent="0.25">
      <c r="A37" t="s">
        <v>99</v>
      </c>
      <c r="B37" t="s">
        <v>119</v>
      </c>
      <c r="C37" t="s">
        <v>116</v>
      </c>
    </row>
    <row r="38" spans="1:3" x14ac:dyDescent="0.25">
      <c r="A38" t="s">
        <v>99</v>
      </c>
      <c r="B38" t="s">
        <v>123</v>
      </c>
      <c r="C38" t="s">
        <v>116</v>
      </c>
    </row>
    <row r="39" spans="1:3" x14ac:dyDescent="0.25">
      <c r="A39" t="s">
        <v>99</v>
      </c>
      <c r="B39" t="s">
        <v>122</v>
      </c>
      <c r="C39" t="s">
        <v>116</v>
      </c>
    </row>
    <row r="40" spans="1:3" x14ac:dyDescent="0.25">
      <c r="A40" t="s">
        <v>99</v>
      </c>
      <c r="B40" t="s">
        <v>118</v>
      </c>
      <c r="C40" t="s">
        <v>116</v>
      </c>
    </row>
    <row r="41" spans="1:3" x14ac:dyDescent="0.25">
      <c r="A41" t="s">
        <v>99</v>
      </c>
      <c r="B41" t="s">
        <v>124</v>
      </c>
      <c r="C41" t="s">
        <v>116</v>
      </c>
    </row>
    <row r="42" spans="1:3" x14ac:dyDescent="0.25">
      <c r="A42" t="s">
        <v>99</v>
      </c>
      <c r="B42" t="s">
        <v>120</v>
      </c>
      <c r="C42" t="s">
        <v>116</v>
      </c>
    </row>
    <row r="43" spans="1:3" x14ac:dyDescent="0.25">
      <c r="A43" t="s">
        <v>99</v>
      </c>
      <c r="B43" t="s">
        <v>126</v>
      </c>
      <c r="C43" t="s">
        <v>116</v>
      </c>
    </row>
    <row r="44" spans="1:3" x14ac:dyDescent="0.25">
      <c r="A44" t="s">
        <v>99</v>
      </c>
      <c r="B44" t="s">
        <v>121</v>
      </c>
      <c r="C44" t="s">
        <v>116</v>
      </c>
    </row>
    <row r="45" spans="1:3" x14ac:dyDescent="0.25">
      <c r="A45" t="s">
        <v>99</v>
      </c>
      <c r="B45" t="s">
        <v>104</v>
      </c>
      <c r="C45" t="s">
        <v>116</v>
      </c>
    </row>
    <row r="46" spans="1:3" x14ac:dyDescent="0.25">
      <c r="A46" t="s">
        <v>99</v>
      </c>
      <c r="B46" t="s">
        <v>109</v>
      </c>
      <c r="C46" t="s">
        <v>116</v>
      </c>
    </row>
    <row r="47" spans="1:3" x14ac:dyDescent="0.25">
      <c r="A47" t="s">
        <v>99</v>
      </c>
      <c r="B47" t="s">
        <v>98</v>
      </c>
      <c r="C47" t="s">
        <v>116</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48"/>
  <sheetViews>
    <sheetView tabSelected="1" workbookViewId="0">
      <pane ySplit="1" topLeftCell="A2" activePane="bottomLeft" state="frozen"/>
      <selection pane="bottomLeft" activeCell="A6" sqref="A6"/>
    </sheetView>
  </sheetViews>
  <sheetFormatPr defaultRowHeight="15" x14ac:dyDescent="0.25"/>
  <cols>
    <col min="1" max="1" width="16" customWidth="1"/>
    <col min="2" max="2" width="14" customWidth="1"/>
    <col min="3" max="4" width="12" customWidth="1"/>
    <col min="5" max="5" width="38" customWidth="1"/>
    <col min="6" max="6" width="12" customWidth="1"/>
    <col min="7" max="8" width="13" customWidth="1"/>
    <col min="9" max="11" width="38" customWidth="1"/>
    <col min="12" max="12" width="16" customWidth="1"/>
  </cols>
  <sheetData>
    <row r="1" spans="1:12" x14ac:dyDescent="0.25">
      <c r="A1" s="4" t="s">
        <v>475</v>
      </c>
      <c r="B1" s="4" t="s">
        <v>476</v>
      </c>
      <c r="C1" s="4" t="s">
        <v>477</v>
      </c>
      <c r="D1" s="4" t="s">
        <v>478</v>
      </c>
      <c r="E1" s="4" t="s">
        <v>479</v>
      </c>
      <c r="F1" s="4" t="s">
        <v>480</v>
      </c>
      <c r="G1" s="4" t="s">
        <v>481</v>
      </c>
      <c r="H1" s="4" t="s">
        <v>33</v>
      </c>
      <c r="I1" s="4" t="s">
        <v>37</v>
      </c>
      <c r="J1" s="4" t="s">
        <v>290</v>
      </c>
      <c r="K1" s="4" t="s">
        <v>474</v>
      </c>
      <c r="L1" s="4" t="s">
        <v>94</v>
      </c>
    </row>
    <row r="2" spans="1:12" x14ac:dyDescent="0.25">
      <c r="A2" t="s">
        <v>482</v>
      </c>
      <c r="B2" t="s">
        <v>483</v>
      </c>
      <c r="C2" t="s">
        <v>484</v>
      </c>
      <c r="D2" t="s">
        <v>485</v>
      </c>
      <c r="E2" t="s">
        <v>486</v>
      </c>
      <c r="F2" t="s">
        <v>487</v>
      </c>
      <c r="G2" t="s">
        <v>488</v>
      </c>
      <c r="H2" t="s">
        <v>489</v>
      </c>
      <c r="I2" t="s">
        <v>490</v>
      </c>
      <c r="J2" t="s">
        <v>490</v>
      </c>
      <c r="K2" t="s">
        <v>491</v>
      </c>
      <c r="L2" t="s">
        <v>100</v>
      </c>
    </row>
    <row r="3" spans="1:12" x14ac:dyDescent="0.25">
      <c r="A3" t="s">
        <v>482</v>
      </c>
      <c r="B3" t="s">
        <v>483</v>
      </c>
      <c r="C3" t="s">
        <v>484</v>
      </c>
      <c r="D3" t="s">
        <v>485</v>
      </c>
      <c r="E3" t="s">
        <v>492</v>
      </c>
      <c r="F3" t="s">
        <v>493</v>
      </c>
      <c r="G3" t="s">
        <v>488</v>
      </c>
      <c r="H3" t="s">
        <v>489</v>
      </c>
      <c r="I3" t="s">
        <v>490</v>
      </c>
      <c r="J3" t="s">
        <v>494</v>
      </c>
      <c r="K3" t="s">
        <v>495</v>
      </c>
      <c r="L3" t="s">
        <v>100</v>
      </c>
    </row>
    <row r="4" spans="1:12" x14ac:dyDescent="0.25">
      <c r="A4" t="s">
        <v>482</v>
      </c>
      <c r="B4" t="s">
        <v>483</v>
      </c>
      <c r="C4" t="s">
        <v>484</v>
      </c>
      <c r="D4" t="s">
        <v>496</v>
      </c>
      <c r="E4" t="s">
        <v>183</v>
      </c>
      <c r="F4" t="s">
        <v>497</v>
      </c>
      <c r="G4" t="s">
        <v>488</v>
      </c>
      <c r="H4" t="s">
        <v>489</v>
      </c>
      <c r="I4" t="s">
        <v>148</v>
      </c>
      <c r="J4" t="s">
        <v>311</v>
      </c>
      <c r="K4" t="s">
        <v>498</v>
      </c>
      <c r="L4" t="s">
        <v>100</v>
      </c>
    </row>
    <row r="5" spans="1:12" x14ac:dyDescent="0.25">
      <c r="A5" t="s">
        <v>482</v>
      </c>
      <c r="B5" t="s">
        <v>483</v>
      </c>
      <c r="C5" t="s">
        <v>484</v>
      </c>
      <c r="D5" t="s">
        <v>496</v>
      </c>
      <c r="E5" t="s">
        <v>179</v>
      </c>
      <c r="F5" t="s">
        <v>497</v>
      </c>
      <c r="G5" t="s">
        <v>488</v>
      </c>
      <c r="H5" t="s">
        <v>489</v>
      </c>
      <c r="I5" t="s">
        <v>147</v>
      </c>
      <c r="J5" t="s">
        <v>307</v>
      </c>
      <c r="K5" t="s">
        <v>499</v>
      </c>
      <c r="L5" t="s">
        <v>100</v>
      </c>
    </row>
    <row r="6" spans="1:12" x14ac:dyDescent="0.25">
      <c r="A6" t="s">
        <v>482</v>
      </c>
      <c r="B6" t="s">
        <v>483</v>
      </c>
      <c r="C6" t="s">
        <v>484</v>
      </c>
      <c r="D6" t="s">
        <v>496</v>
      </c>
      <c r="E6" t="s">
        <v>185</v>
      </c>
      <c r="F6" t="s">
        <v>497</v>
      </c>
      <c r="G6" t="s">
        <v>488</v>
      </c>
      <c r="H6" t="s">
        <v>489</v>
      </c>
      <c r="I6" t="s">
        <v>149</v>
      </c>
      <c r="J6" t="s">
        <v>307</v>
      </c>
      <c r="K6" t="s">
        <v>500</v>
      </c>
      <c r="L6" t="s">
        <v>100</v>
      </c>
    </row>
    <row r="7" spans="1:12" x14ac:dyDescent="0.25">
      <c r="A7" t="s">
        <v>482</v>
      </c>
      <c r="B7" t="s">
        <v>483</v>
      </c>
      <c r="C7" t="s">
        <v>484</v>
      </c>
      <c r="D7" t="s">
        <v>501</v>
      </c>
      <c r="E7" t="s">
        <v>502</v>
      </c>
      <c r="F7" t="s">
        <v>503</v>
      </c>
      <c r="G7" t="s">
        <v>488</v>
      </c>
      <c r="H7" t="s">
        <v>489</v>
      </c>
      <c r="I7" t="s">
        <v>138</v>
      </c>
      <c r="J7" t="s">
        <v>327</v>
      </c>
      <c r="K7" t="s">
        <v>504</v>
      </c>
      <c r="L7" t="s">
        <v>100</v>
      </c>
    </row>
    <row r="8" spans="1:12" x14ac:dyDescent="0.25">
      <c r="A8" t="s">
        <v>482</v>
      </c>
      <c r="B8" t="s">
        <v>483</v>
      </c>
      <c r="C8" t="s">
        <v>484</v>
      </c>
      <c r="D8" t="s">
        <v>505</v>
      </c>
      <c r="E8" t="s">
        <v>506</v>
      </c>
      <c r="F8" t="s">
        <v>493</v>
      </c>
      <c r="G8" t="s">
        <v>488</v>
      </c>
      <c r="H8" t="s">
        <v>489</v>
      </c>
      <c r="I8" t="s">
        <v>139</v>
      </c>
      <c r="J8" t="s">
        <v>336</v>
      </c>
      <c r="K8" t="s">
        <v>507</v>
      </c>
      <c r="L8" t="s">
        <v>100</v>
      </c>
    </row>
    <row r="9" spans="1:12" x14ac:dyDescent="0.25">
      <c r="A9" t="s">
        <v>482</v>
      </c>
      <c r="B9" t="s">
        <v>483</v>
      </c>
      <c r="C9" t="s">
        <v>484</v>
      </c>
      <c r="D9" t="s">
        <v>508</v>
      </c>
      <c r="E9" t="s">
        <v>509</v>
      </c>
      <c r="F9" t="s">
        <v>510</v>
      </c>
      <c r="G9" t="s">
        <v>511</v>
      </c>
      <c r="H9" t="s">
        <v>489</v>
      </c>
      <c r="I9" t="s">
        <v>154</v>
      </c>
      <c r="J9" t="s">
        <v>512</v>
      </c>
      <c r="K9" t="s">
        <v>513</v>
      </c>
      <c r="L9" t="s">
        <v>100</v>
      </c>
    </row>
    <row r="10" spans="1:12" x14ac:dyDescent="0.25">
      <c r="A10" t="s">
        <v>482</v>
      </c>
      <c r="B10" t="s">
        <v>483</v>
      </c>
      <c r="C10" t="s">
        <v>484</v>
      </c>
      <c r="D10" t="s">
        <v>508</v>
      </c>
      <c r="E10" t="s">
        <v>514</v>
      </c>
      <c r="F10" t="s">
        <v>515</v>
      </c>
      <c r="G10" t="s">
        <v>511</v>
      </c>
      <c r="H10" t="s">
        <v>489</v>
      </c>
      <c r="I10" t="s">
        <v>154</v>
      </c>
      <c r="J10" t="s">
        <v>512</v>
      </c>
      <c r="K10" t="s">
        <v>513</v>
      </c>
      <c r="L10" t="s">
        <v>100</v>
      </c>
    </row>
    <row r="11" spans="1:12" x14ac:dyDescent="0.25">
      <c r="A11" t="s">
        <v>482</v>
      </c>
      <c r="B11" t="s">
        <v>483</v>
      </c>
      <c r="C11" t="s">
        <v>484</v>
      </c>
      <c r="D11" t="s">
        <v>516</v>
      </c>
      <c r="E11" t="s">
        <v>517</v>
      </c>
      <c r="F11" t="s">
        <v>518</v>
      </c>
      <c r="G11" t="s">
        <v>511</v>
      </c>
      <c r="H11" t="s">
        <v>489</v>
      </c>
      <c r="I11" t="s">
        <v>132</v>
      </c>
      <c r="J11" t="s">
        <v>382</v>
      </c>
      <c r="K11" t="s">
        <v>519</v>
      </c>
      <c r="L11" t="s">
        <v>100</v>
      </c>
    </row>
    <row r="12" spans="1:12" x14ac:dyDescent="0.25">
      <c r="A12" t="s">
        <v>482</v>
      </c>
      <c r="B12" t="s">
        <v>483</v>
      </c>
      <c r="C12" t="s">
        <v>484</v>
      </c>
      <c r="D12" t="s">
        <v>516</v>
      </c>
      <c r="E12" t="s">
        <v>520</v>
      </c>
      <c r="F12" t="s">
        <v>518</v>
      </c>
      <c r="G12" t="s">
        <v>511</v>
      </c>
      <c r="H12" t="s">
        <v>489</v>
      </c>
      <c r="I12" t="s">
        <v>133</v>
      </c>
      <c r="J12" t="s">
        <v>382</v>
      </c>
      <c r="K12" t="s">
        <v>513</v>
      </c>
      <c r="L12" t="s">
        <v>100</v>
      </c>
    </row>
    <row r="13" spans="1:12" x14ac:dyDescent="0.25">
      <c r="A13" t="s">
        <v>482</v>
      </c>
      <c r="B13" t="s">
        <v>483</v>
      </c>
      <c r="C13" t="s">
        <v>484</v>
      </c>
      <c r="D13" t="s">
        <v>516</v>
      </c>
      <c r="E13" t="s">
        <v>521</v>
      </c>
      <c r="F13" t="s">
        <v>518</v>
      </c>
      <c r="G13" t="s">
        <v>511</v>
      </c>
      <c r="H13" t="s">
        <v>489</v>
      </c>
      <c r="I13" t="s">
        <v>129</v>
      </c>
      <c r="J13" t="s">
        <v>390</v>
      </c>
      <c r="K13" t="s">
        <v>522</v>
      </c>
      <c r="L13" t="s">
        <v>100</v>
      </c>
    </row>
    <row r="14" spans="1:12" x14ac:dyDescent="0.25">
      <c r="A14" t="s">
        <v>482</v>
      </c>
      <c r="B14" t="s">
        <v>483</v>
      </c>
      <c r="C14" t="s">
        <v>484</v>
      </c>
      <c r="D14" t="s">
        <v>516</v>
      </c>
      <c r="E14" t="s">
        <v>523</v>
      </c>
      <c r="F14" t="s">
        <v>518</v>
      </c>
      <c r="G14" t="s">
        <v>511</v>
      </c>
      <c r="H14" t="s">
        <v>489</v>
      </c>
      <c r="I14" t="s">
        <v>136</v>
      </c>
      <c r="J14" t="s">
        <v>394</v>
      </c>
      <c r="K14" t="s">
        <v>524</v>
      </c>
      <c r="L14" t="s">
        <v>100</v>
      </c>
    </row>
    <row r="15" spans="1:12" x14ac:dyDescent="0.25">
      <c r="A15" t="s">
        <v>482</v>
      </c>
      <c r="B15" t="s">
        <v>483</v>
      </c>
      <c r="C15" t="s">
        <v>484</v>
      </c>
      <c r="D15" t="s">
        <v>516</v>
      </c>
      <c r="E15" t="s">
        <v>525</v>
      </c>
      <c r="F15" t="s">
        <v>518</v>
      </c>
      <c r="G15" t="s">
        <v>511</v>
      </c>
      <c r="H15" t="s">
        <v>489</v>
      </c>
      <c r="I15" t="s">
        <v>137</v>
      </c>
      <c r="J15" t="s">
        <v>398</v>
      </c>
      <c r="K15" t="s">
        <v>526</v>
      </c>
      <c r="L15" t="s">
        <v>100</v>
      </c>
    </row>
    <row r="16" spans="1:12" x14ac:dyDescent="0.25">
      <c r="A16" t="s">
        <v>482</v>
      </c>
      <c r="B16" t="s">
        <v>483</v>
      </c>
      <c r="C16" t="s">
        <v>484</v>
      </c>
      <c r="D16" t="s">
        <v>516</v>
      </c>
      <c r="E16" t="s">
        <v>527</v>
      </c>
      <c r="F16" t="s">
        <v>518</v>
      </c>
      <c r="G16" t="s">
        <v>511</v>
      </c>
      <c r="H16" t="s">
        <v>489</v>
      </c>
      <c r="I16" t="s">
        <v>130</v>
      </c>
      <c r="J16" t="s">
        <v>402</v>
      </c>
      <c r="K16" t="s">
        <v>528</v>
      </c>
      <c r="L16" t="s">
        <v>100</v>
      </c>
    </row>
    <row r="17" spans="1:12" x14ac:dyDescent="0.25">
      <c r="A17" t="s">
        <v>482</v>
      </c>
      <c r="B17" t="s">
        <v>483</v>
      </c>
      <c r="C17" t="s">
        <v>484</v>
      </c>
      <c r="D17" t="s">
        <v>516</v>
      </c>
      <c r="E17" t="s">
        <v>529</v>
      </c>
      <c r="F17" t="s">
        <v>518</v>
      </c>
      <c r="G17" t="s">
        <v>511</v>
      </c>
      <c r="H17" t="s">
        <v>489</v>
      </c>
      <c r="I17" t="s">
        <v>127</v>
      </c>
      <c r="J17" t="s">
        <v>410</v>
      </c>
      <c r="K17" t="s">
        <v>513</v>
      </c>
      <c r="L17" t="s">
        <v>100</v>
      </c>
    </row>
    <row r="18" spans="1:12" x14ac:dyDescent="0.25">
      <c r="A18" t="s">
        <v>482</v>
      </c>
      <c r="B18" t="s">
        <v>483</v>
      </c>
      <c r="C18" t="s">
        <v>484</v>
      </c>
      <c r="D18" t="s">
        <v>530</v>
      </c>
      <c r="E18" t="s">
        <v>531</v>
      </c>
      <c r="F18" t="s">
        <v>532</v>
      </c>
      <c r="G18" t="s">
        <v>511</v>
      </c>
      <c r="H18" t="s">
        <v>489</v>
      </c>
      <c r="I18" t="s">
        <v>153</v>
      </c>
      <c r="J18" t="s">
        <v>420</v>
      </c>
      <c r="K18" t="s">
        <v>533</v>
      </c>
      <c r="L18" t="s">
        <v>100</v>
      </c>
    </row>
    <row r="19" spans="1:12" x14ac:dyDescent="0.25">
      <c r="A19" t="s">
        <v>482</v>
      </c>
      <c r="B19" t="s">
        <v>483</v>
      </c>
      <c r="C19" t="s">
        <v>484</v>
      </c>
      <c r="D19" t="s">
        <v>530</v>
      </c>
      <c r="E19" t="s">
        <v>534</v>
      </c>
      <c r="F19" t="s">
        <v>532</v>
      </c>
      <c r="G19" t="s">
        <v>511</v>
      </c>
      <c r="H19" t="s">
        <v>489</v>
      </c>
      <c r="I19" t="s">
        <v>141</v>
      </c>
      <c r="J19" t="s">
        <v>424</v>
      </c>
      <c r="K19" t="s">
        <v>513</v>
      </c>
      <c r="L19" t="s">
        <v>100</v>
      </c>
    </row>
    <row r="20" spans="1:12" x14ac:dyDescent="0.25">
      <c r="A20" t="s">
        <v>482</v>
      </c>
      <c r="B20" t="s">
        <v>483</v>
      </c>
      <c r="C20" t="s">
        <v>484</v>
      </c>
      <c r="D20" t="s">
        <v>535</v>
      </c>
      <c r="E20" t="s">
        <v>536</v>
      </c>
      <c r="F20" t="s">
        <v>510</v>
      </c>
      <c r="G20" t="s">
        <v>511</v>
      </c>
      <c r="H20" t="s">
        <v>489</v>
      </c>
      <c r="I20" t="s">
        <v>145</v>
      </c>
      <c r="J20" t="s">
        <v>362</v>
      </c>
      <c r="K20" t="s">
        <v>513</v>
      </c>
      <c r="L20" t="s">
        <v>100</v>
      </c>
    </row>
    <row r="21" spans="1:12" x14ac:dyDescent="0.25">
      <c r="A21" t="s">
        <v>482</v>
      </c>
      <c r="B21" t="s">
        <v>483</v>
      </c>
      <c r="C21" t="s">
        <v>484</v>
      </c>
      <c r="D21" t="s">
        <v>537</v>
      </c>
      <c r="E21" t="s">
        <v>538</v>
      </c>
      <c r="F21" t="s">
        <v>510</v>
      </c>
      <c r="G21" t="s">
        <v>511</v>
      </c>
      <c r="H21" t="s">
        <v>489</v>
      </c>
      <c r="I21" t="s">
        <v>146</v>
      </c>
      <c r="J21" t="s">
        <v>367</v>
      </c>
      <c r="K21" t="s">
        <v>513</v>
      </c>
      <c r="L21" t="s">
        <v>100</v>
      </c>
    </row>
    <row r="22" spans="1:12" x14ac:dyDescent="0.25">
      <c r="A22" t="s">
        <v>482</v>
      </c>
      <c r="B22" t="s">
        <v>483</v>
      </c>
      <c r="C22" t="s">
        <v>484</v>
      </c>
      <c r="D22" t="s">
        <v>537</v>
      </c>
      <c r="E22" t="s">
        <v>539</v>
      </c>
      <c r="F22" t="s">
        <v>515</v>
      </c>
      <c r="G22" t="s">
        <v>511</v>
      </c>
      <c r="H22" t="s">
        <v>489</v>
      </c>
      <c r="I22" t="s">
        <v>146</v>
      </c>
      <c r="J22" t="s">
        <v>367</v>
      </c>
      <c r="K22" t="s">
        <v>513</v>
      </c>
      <c r="L22" t="s">
        <v>100</v>
      </c>
    </row>
    <row r="23" spans="1:12" x14ac:dyDescent="0.25">
      <c r="A23" t="s">
        <v>482</v>
      </c>
      <c r="B23" t="s">
        <v>483</v>
      </c>
      <c r="C23" t="s">
        <v>484</v>
      </c>
      <c r="D23" t="s">
        <v>540</v>
      </c>
      <c r="E23" t="s">
        <v>541</v>
      </c>
      <c r="F23" t="s">
        <v>510</v>
      </c>
      <c r="G23" t="s">
        <v>511</v>
      </c>
      <c r="H23" t="s">
        <v>489</v>
      </c>
      <c r="I23" t="s">
        <v>156</v>
      </c>
      <c r="J23" t="s">
        <v>372</v>
      </c>
      <c r="K23" t="s">
        <v>513</v>
      </c>
      <c r="L23" t="s">
        <v>100</v>
      </c>
    </row>
    <row r="24" spans="1:12" x14ac:dyDescent="0.25">
      <c r="A24" t="s">
        <v>482</v>
      </c>
      <c r="B24" t="s">
        <v>483</v>
      </c>
      <c r="C24" t="s">
        <v>484</v>
      </c>
      <c r="D24" t="s">
        <v>542</v>
      </c>
      <c r="E24" t="s">
        <v>543</v>
      </c>
      <c r="F24" t="s">
        <v>515</v>
      </c>
      <c r="G24" t="s">
        <v>511</v>
      </c>
      <c r="H24" t="s">
        <v>489</v>
      </c>
      <c r="I24" t="s">
        <v>158</v>
      </c>
      <c r="J24" t="s">
        <v>428</v>
      </c>
      <c r="K24" t="s">
        <v>513</v>
      </c>
      <c r="L24" t="s">
        <v>100</v>
      </c>
    </row>
    <row r="25" spans="1:12" x14ac:dyDescent="0.25">
      <c r="A25" t="s">
        <v>482</v>
      </c>
      <c r="B25" t="s">
        <v>483</v>
      </c>
      <c r="C25" t="s">
        <v>484</v>
      </c>
      <c r="D25" t="s">
        <v>544</v>
      </c>
      <c r="E25" t="s">
        <v>545</v>
      </c>
      <c r="F25" t="s">
        <v>510</v>
      </c>
      <c r="G25" t="s">
        <v>511</v>
      </c>
      <c r="H25" t="s">
        <v>489</v>
      </c>
      <c r="I25" t="s">
        <v>142</v>
      </c>
      <c r="J25" t="s">
        <v>546</v>
      </c>
      <c r="K25" t="s">
        <v>513</v>
      </c>
      <c r="L25" t="s">
        <v>100</v>
      </c>
    </row>
    <row r="26" spans="1:12" x14ac:dyDescent="0.25">
      <c r="A26" t="s">
        <v>482</v>
      </c>
      <c r="B26" t="s">
        <v>483</v>
      </c>
      <c r="C26" t="s">
        <v>484</v>
      </c>
      <c r="D26" t="s">
        <v>544</v>
      </c>
      <c r="E26" t="s">
        <v>547</v>
      </c>
      <c r="F26" t="s">
        <v>515</v>
      </c>
      <c r="G26" t="s">
        <v>511</v>
      </c>
      <c r="H26" t="s">
        <v>489</v>
      </c>
      <c r="I26" t="s">
        <v>142</v>
      </c>
      <c r="J26" t="s">
        <v>546</v>
      </c>
      <c r="K26" t="s">
        <v>513</v>
      </c>
      <c r="L26" t="s">
        <v>100</v>
      </c>
    </row>
    <row r="27" spans="1:12" x14ac:dyDescent="0.25">
      <c r="A27" t="s">
        <v>482</v>
      </c>
      <c r="B27" t="s">
        <v>483</v>
      </c>
      <c r="C27" t="s">
        <v>484</v>
      </c>
      <c r="D27" t="s">
        <v>548</v>
      </c>
      <c r="E27" t="s">
        <v>549</v>
      </c>
      <c r="F27" t="s">
        <v>503</v>
      </c>
      <c r="G27" t="s">
        <v>488</v>
      </c>
      <c r="H27" t="s">
        <v>489</v>
      </c>
      <c r="I27" t="s">
        <v>140</v>
      </c>
      <c r="J27" t="s">
        <v>332</v>
      </c>
      <c r="K27" t="s">
        <v>550</v>
      </c>
      <c r="L27" t="s">
        <v>100</v>
      </c>
    </row>
    <row r="28" spans="1:12" x14ac:dyDescent="0.25">
      <c r="A28" t="s">
        <v>482</v>
      </c>
      <c r="B28" t="s">
        <v>483</v>
      </c>
      <c r="C28" t="s">
        <v>484</v>
      </c>
      <c r="D28" t="s">
        <v>551</v>
      </c>
      <c r="E28" t="s">
        <v>552</v>
      </c>
      <c r="F28" t="s">
        <v>493</v>
      </c>
      <c r="G28" t="s">
        <v>511</v>
      </c>
      <c r="H28" t="s">
        <v>489</v>
      </c>
      <c r="I28" t="s">
        <v>140</v>
      </c>
      <c r="J28" t="s">
        <v>332</v>
      </c>
      <c r="K28" t="s">
        <v>553</v>
      </c>
      <c r="L28" t="s">
        <v>100</v>
      </c>
    </row>
    <row r="29" spans="1:12" x14ac:dyDescent="0.25">
      <c r="A29" t="s">
        <v>482</v>
      </c>
      <c r="B29" t="s">
        <v>483</v>
      </c>
      <c r="C29" t="s">
        <v>554</v>
      </c>
      <c r="D29" t="s">
        <v>555</v>
      </c>
      <c r="E29" t="s">
        <v>556</v>
      </c>
      <c r="F29" t="s">
        <v>493</v>
      </c>
      <c r="G29" t="s">
        <v>488</v>
      </c>
      <c r="H29" t="s">
        <v>489</v>
      </c>
      <c r="I29" t="s">
        <v>114</v>
      </c>
      <c r="J29" t="s">
        <v>114</v>
      </c>
      <c r="K29" t="s">
        <v>557</v>
      </c>
      <c r="L29" t="s">
        <v>100</v>
      </c>
    </row>
    <row r="30" spans="1:12" x14ac:dyDescent="0.25">
      <c r="A30" t="s">
        <v>482</v>
      </c>
      <c r="B30" t="s">
        <v>483</v>
      </c>
      <c r="C30" t="s">
        <v>554</v>
      </c>
      <c r="D30" t="s">
        <v>558</v>
      </c>
      <c r="E30" t="s">
        <v>559</v>
      </c>
      <c r="F30" t="s">
        <v>560</v>
      </c>
      <c r="G30" t="s">
        <v>488</v>
      </c>
      <c r="H30" t="s">
        <v>489</v>
      </c>
      <c r="I30" t="s">
        <v>125</v>
      </c>
      <c r="J30" t="s">
        <v>125</v>
      </c>
      <c r="K30" t="s">
        <v>561</v>
      </c>
      <c r="L30" t="s">
        <v>100</v>
      </c>
    </row>
    <row r="31" spans="1:12" x14ac:dyDescent="0.25">
      <c r="A31" t="s">
        <v>482</v>
      </c>
      <c r="B31" t="s">
        <v>483</v>
      </c>
      <c r="C31" t="s">
        <v>554</v>
      </c>
      <c r="D31" t="s">
        <v>562</v>
      </c>
      <c r="E31" t="s">
        <v>563</v>
      </c>
      <c r="F31" t="s">
        <v>487</v>
      </c>
      <c r="G31" t="s">
        <v>488</v>
      </c>
      <c r="H31" t="s">
        <v>489</v>
      </c>
      <c r="I31" t="s">
        <v>119</v>
      </c>
      <c r="J31" t="s">
        <v>119</v>
      </c>
      <c r="K31" t="s">
        <v>564</v>
      </c>
      <c r="L31" t="s">
        <v>100</v>
      </c>
    </row>
    <row r="32" spans="1:12" x14ac:dyDescent="0.25">
      <c r="A32" t="s">
        <v>482</v>
      </c>
      <c r="B32" t="s">
        <v>483</v>
      </c>
      <c r="C32" t="s">
        <v>554</v>
      </c>
      <c r="D32" t="s">
        <v>565</v>
      </c>
      <c r="E32" t="s">
        <v>566</v>
      </c>
      <c r="F32" t="s">
        <v>503</v>
      </c>
      <c r="G32" t="s">
        <v>488</v>
      </c>
      <c r="H32" t="s">
        <v>489</v>
      </c>
      <c r="I32" t="s">
        <v>123</v>
      </c>
      <c r="J32" t="s">
        <v>123</v>
      </c>
      <c r="K32" t="s">
        <v>567</v>
      </c>
      <c r="L32" t="s">
        <v>100</v>
      </c>
    </row>
    <row r="33" spans="1:12" x14ac:dyDescent="0.25">
      <c r="A33" t="s">
        <v>482</v>
      </c>
      <c r="B33" t="s">
        <v>483</v>
      </c>
      <c r="C33" t="s">
        <v>554</v>
      </c>
      <c r="D33" t="s">
        <v>568</v>
      </c>
      <c r="E33" t="s">
        <v>569</v>
      </c>
      <c r="F33" t="s">
        <v>503</v>
      </c>
      <c r="G33" t="s">
        <v>488</v>
      </c>
      <c r="H33" t="s">
        <v>489</v>
      </c>
      <c r="I33" t="s">
        <v>122</v>
      </c>
      <c r="J33" t="s">
        <v>122</v>
      </c>
      <c r="K33" t="s">
        <v>570</v>
      </c>
      <c r="L33" t="s">
        <v>100</v>
      </c>
    </row>
    <row r="34" spans="1:12" x14ac:dyDescent="0.25">
      <c r="A34" t="s">
        <v>482</v>
      </c>
      <c r="B34" t="s">
        <v>483</v>
      </c>
      <c r="C34" t="s">
        <v>554</v>
      </c>
      <c r="D34" t="s">
        <v>571</v>
      </c>
      <c r="E34" t="s">
        <v>572</v>
      </c>
      <c r="F34" t="s">
        <v>510</v>
      </c>
      <c r="G34" t="s">
        <v>488</v>
      </c>
      <c r="H34" t="s">
        <v>489</v>
      </c>
      <c r="I34" t="s">
        <v>118</v>
      </c>
      <c r="J34" t="s">
        <v>118</v>
      </c>
      <c r="K34" t="s">
        <v>573</v>
      </c>
      <c r="L34" t="s">
        <v>100</v>
      </c>
    </row>
    <row r="35" spans="1:12" x14ac:dyDescent="0.25">
      <c r="A35" t="s">
        <v>482</v>
      </c>
      <c r="B35" t="s">
        <v>483</v>
      </c>
      <c r="C35" t="s">
        <v>574</v>
      </c>
      <c r="D35" t="s">
        <v>575</v>
      </c>
      <c r="E35" t="s">
        <v>269</v>
      </c>
      <c r="F35" t="s">
        <v>510</v>
      </c>
      <c r="G35" t="s">
        <v>511</v>
      </c>
      <c r="H35" t="s">
        <v>489</v>
      </c>
      <c r="I35" t="s">
        <v>124</v>
      </c>
      <c r="J35" t="s">
        <v>124</v>
      </c>
      <c r="K35" t="s">
        <v>576</v>
      </c>
      <c r="L35" t="s">
        <v>100</v>
      </c>
    </row>
    <row r="36" spans="1:12" x14ac:dyDescent="0.25">
      <c r="A36" t="s">
        <v>482</v>
      </c>
      <c r="B36" t="s">
        <v>483</v>
      </c>
      <c r="C36" t="s">
        <v>554</v>
      </c>
      <c r="D36" t="s">
        <v>577</v>
      </c>
      <c r="E36" t="s">
        <v>578</v>
      </c>
      <c r="F36" t="s">
        <v>493</v>
      </c>
      <c r="G36" t="s">
        <v>511</v>
      </c>
      <c r="H36" t="s">
        <v>489</v>
      </c>
      <c r="I36" t="s">
        <v>120</v>
      </c>
      <c r="J36" t="s">
        <v>120</v>
      </c>
      <c r="K36" t="s">
        <v>579</v>
      </c>
      <c r="L36" t="s">
        <v>100</v>
      </c>
    </row>
    <row r="37" spans="1:12" x14ac:dyDescent="0.25">
      <c r="A37" t="s">
        <v>482</v>
      </c>
      <c r="B37" t="s">
        <v>483</v>
      </c>
      <c r="C37" t="s">
        <v>554</v>
      </c>
      <c r="D37" t="s">
        <v>577</v>
      </c>
      <c r="E37" t="s">
        <v>580</v>
      </c>
      <c r="F37" t="s">
        <v>493</v>
      </c>
      <c r="G37" t="s">
        <v>511</v>
      </c>
      <c r="H37" t="s">
        <v>489</v>
      </c>
      <c r="I37" t="s">
        <v>120</v>
      </c>
      <c r="J37" t="s">
        <v>120</v>
      </c>
      <c r="K37" t="s">
        <v>581</v>
      </c>
      <c r="L37" t="s">
        <v>100</v>
      </c>
    </row>
    <row r="38" spans="1:12" x14ac:dyDescent="0.25">
      <c r="A38" t="s">
        <v>482</v>
      </c>
      <c r="B38" t="s">
        <v>483</v>
      </c>
      <c r="C38" t="s">
        <v>554</v>
      </c>
      <c r="D38" t="s">
        <v>577</v>
      </c>
      <c r="E38" t="s">
        <v>582</v>
      </c>
      <c r="F38" t="s">
        <v>493</v>
      </c>
      <c r="G38" t="s">
        <v>511</v>
      </c>
      <c r="H38" t="s">
        <v>489</v>
      </c>
      <c r="I38" t="s">
        <v>120</v>
      </c>
      <c r="J38" t="s">
        <v>120</v>
      </c>
      <c r="K38" t="s">
        <v>583</v>
      </c>
      <c r="L38" t="s">
        <v>100</v>
      </c>
    </row>
    <row r="39" spans="1:12" x14ac:dyDescent="0.25">
      <c r="A39" t="s">
        <v>482</v>
      </c>
      <c r="B39" t="s">
        <v>483</v>
      </c>
      <c r="C39" t="s">
        <v>554</v>
      </c>
      <c r="D39" t="s">
        <v>577</v>
      </c>
      <c r="E39" t="s">
        <v>584</v>
      </c>
      <c r="F39" t="s">
        <v>585</v>
      </c>
      <c r="G39" t="s">
        <v>511</v>
      </c>
      <c r="H39" t="s">
        <v>489</v>
      </c>
      <c r="I39" t="s">
        <v>125</v>
      </c>
      <c r="J39" t="s">
        <v>125</v>
      </c>
      <c r="K39" t="s">
        <v>586</v>
      </c>
      <c r="L39" t="s">
        <v>100</v>
      </c>
    </row>
    <row r="40" spans="1:12" x14ac:dyDescent="0.25">
      <c r="A40" t="s">
        <v>482</v>
      </c>
      <c r="B40" t="s">
        <v>483</v>
      </c>
      <c r="C40" t="s">
        <v>554</v>
      </c>
      <c r="D40" t="s">
        <v>587</v>
      </c>
      <c r="E40" t="s">
        <v>588</v>
      </c>
      <c r="F40" t="s">
        <v>510</v>
      </c>
      <c r="G40" t="s">
        <v>488</v>
      </c>
      <c r="H40" t="s">
        <v>489</v>
      </c>
      <c r="I40" t="s">
        <v>126</v>
      </c>
      <c r="J40" t="s">
        <v>126</v>
      </c>
      <c r="K40" t="s">
        <v>567</v>
      </c>
      <c r="L40" t="s">
        <v>100</v>
      </c>
    </row>
    <row r="41" spans="1:12" x14ac:dyDescent="0.25">
      <c r="A41" t="s">
        <v>482</v>
      </c>
      <c r="B41" t="s">
        <v>483</v>
      </c>
      <c r="C41" t="s">
        <v>589</v>
      </c>
      <c r="D41" t="s">
        <v>590</v>
      </c>
      <c r="E41" t="s">
        <v>591</v>
      </c>
      <c r="F41" t="s">
        <v>592</v>
      </c>
      <c r="G41" t="s">
        <v>488</v>
      </c>
      <c r="H41" t="s">
        <v>489</v>
      </c>
      <c r="I41" t="s">
        <v>121</v>
      </c>
      <c r="J41" t="s">
        <v>465</v>
      </c>
      <c r="K41" t="s">
        <v>513</v>
      </c>
      <c r="L41" t="s">
        <v>100</v>
      </c>
    </row>
    <row r="42" spans="1:12" x14ac:dyDescent="0.25">
      <c r="A42" t="s">
        <v>482</v>
      </c>
      <c r="B42" t="s">
        <v>483</v>
      </c>
      <c r="C42" t="s">
        <v>589</v>
      </c>
      <c r="D42" t="s">
        <v>590</v>
      </c>
      <c r="E42" t="s">
        <v>593</v>
      </c>
      <c r="F42" t="s">
        <v>592</v>
      </c>
      <c r="G42" t="s">
        <v>488</v>
      </c>
      <c r="H42" t="s">
        <v>489</v>
      </c>
      <c r="I42" t="s">
        <v>121</v>
      </c>
      <c r="J42" t="s">
        <v>465</v>
      </c>
      <c r="K42" t="s">
        <v>513</v>
      </c>
      <c r="L42" t="s">
        <v>100</v>
      </c>
    </row>
    <row r="43" spans="1:12" x14ac:dyDescent="0.25">
      <c r="A43" t="s">
        <v>482</v>
      </c>
      <c r="B43" t="s">
        <v>483</v>
      </c>
      <c r="C43" t="s">
        <v>589</v>
      </c>
      <c r="D43" t="s">
        <v>590</v>
      </c>
      <c r="E43" t="s">
        <v>594</v>
      </c>
      <c r="F43" t="s">
        <v>592</v>
      </c>
      <c r="G43" t="s">
        <v>488</v>
      </c>
      <c r="H43" t="s">
        <v>489</v>
      </c>
      <c r="I43" t="s">
        <v>121</v>
      </c>
      <c r="J43" t="s">
        <v>465</v>
      </c>
      <c r="K43" t="s">
        <v>513</v>
      </c>
      <c r="L43" t="s">
        <v>100</v>
      </c>
    </row>
    <row r="44" spans="1:12" x14ac:dyDescent="0.25">
      <c r="A44" t="s">
        <v>482</v>
      </c>
      <c r="B44" t="s">
        <v>483</v>
      </c>
      <c r="C44" t="s">
        <v>595</v>
      </c>
      <c r="D44" t="s">
        <v>596</v>
      </c>
      <c r="E44" t="s">
        <v>277</v>
      </c>
      <c r="F44" t="s">
        <v>515</v>
      </c>
      <c r="G44" t="s">
        <v>488</v>
      </c>
      <c r="H44" t="s">
        <v>489</v>
      </c>
      <c r="I44" t="s">
        <v>104</v>
      </c>
      <c r="J44" t="s">
        <v>104</v>
      </c>
      <c r="K44" t="s">
        <v>597</v>
      </c>
      <c r="L44" t="s">
        <v>100</v>
      </c>
    </row>
    <row r="45" spans="1:12" x14ac:dyDescent="0.25">
      <c r="A45" t="s">
        <v>482</v>
      </c>
      <c r="B45" t="s">
        <v>483</v>
      </c>
      <c r="C45" t="s">
        <v>595</v>
      </c>
      <c r="D45" t="s">
        <v>598</v>
      </c>
      <c r="E45" t="s">
        <v>281</v>
      </c>
      <c r="F45" t="s">
        <v>560</v>
      </c>
      <c r="G45" t="s">
        <v>511</v>
      </c>
      <c r="H45" t="s">
        <v>489</v>
      </c>
      <c r="I45" t="s">
        <v>109</v>
      </c>
      <c r="J45" t="s">
        <v>109</v>
      </c>
      <c r="K45" t="s">
        <v>599</v>
      </c>
      <c r="L45" t="s">
        <v>100</v>
      </c>
    </row>
    <row r="46" spans="1:12" x14ac:dyDescent="0.25">
      <c r="A46" t="s">
        <v>482</v>
      </c>
      <c r="B46" t="s">
        <v>483</v>
      </c>
      <c r="C46" t="s">
        <v>600</v>
      </c>
      <c r="D46" t="s">
        <v>601</v>
      </c>
      <c r="E46" t="s">
        <v>602</v>
      </c>
      <c r="F46" t="s">
        <v>510</v>
      </c>
      <c r="G46" t="s">
        <v>488</v>
      </c>
      <c r="H46" t="s">
        <v>489</v>
      </c>
      <c r="I46" t="s">
        <v>98</v>
      </c>
      <c r="J46" t="s">
        <v>98</v>
      </c>
      <c r="K46" t="s">
        <v>603</v>
      </c>
      <c r="L46" t="s">
        <v>100</v>
      </c>
    </row>
    <row r="47" spans="1:12" x14ac:dyDescent="0.25">
      <c r="A47" t="s">
        <v>482</v>
      </c>
      <c r="B47" t="s">
        <v>483</v>
      </c>
      <c r="C47" t="s">
        <v>600</v>
      </c>
      <c r="D47" t="s">
        <v>604</v>
      </c>
      <c r="E47" t="s">
        <v>605</v>
      </c>
      <c r="F47" t="s">
        <v>510</v>
      </c>
      <c r="G47" t="s">
        <v>488</v>
      </c>
      <c r="H47" t="s">
        <v>489</v>
      </c>
      <c r="I47" t="s">
        <v>98</v>
      </c>
      <c r="J47" t="s">
        <v>98</v>
      </c>
      <c r="K47" t="s">
        <v>606</v>
      </c>
      <c r="L47" t="s">
        <v>100</v>
      </c>
    </row>
    <row r="48" spans="1:12" x14ac:dyDescent="0.25">
      <c r="A48" t="s">
        <v>482</v>
      </c>
      <c r="B48" t="s">
        <v>483</v>
      </c>
      <c r="C48" t="s">
        <v>600</v>
      </c>
      <c r="D48" t="s">
        <v>604</v>
      </c>
      <c r="E48" t="s">
        <v>607</v>
      </c>
      <c r="F48" t="s">
        <v>515</v>
      </c>
      <c r="G48" t="s">
        <v>511</v>
      </c>
      <c r="H48" t="s">
        <v>489</v>
      </c>
      <c r="I48" t="s">
        <v>98</v>
      </c>
      <c r="J48" t="s">
        <v>608</v>
      </c>
      <c r="K48" t="s">
        <v>609</v>
      </c>
      <c r="L48" t="s">
        <v>100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5"/>
  <sheetViews>
    <sheetView workbookViewId="0">
      <pane ySplit="1" topLeftCell="A2" activePane="bottomLeft" state="frozen"/>
      <selection pane="bottomLeft"/>
    </sheetView>
  </sheetViews>
  <sheetFormatPr defaultRowHeight="15" x14ac:dyDescent="0.25"/>
  <cols>
    <col min="1" max="1" width="16" customWidth="1"/>
    <col min="2" max="2" width="17" customWidth="1"/>
    <col min="3" max="3" width="25" customWidth="1"/>
    <col min="4" max="4" width="38" customWidth="1"/>
    <col min="5" max="5" width="29" customWidth="1"/>
    <col min="6" max="6" width="32" customWidth="1"/>
    <col min="7" max="7" width="38" customWidth="1"/>
    <col min="8" max="8" width="16" customWidth="1"/>
  </cols>
  <sheetData>
    <row r="1" spans="1:8" x14ac:dyDescent="0.25">
      <c r="A1" s="4" t="s">
        <v>475</v>
      </c>
      <c r="B1" s="4" t="s">
        <v>610</v>
      </c>
      <c r="C1" s="4" t="s">
        <v>611</v>
      </c>
      <c r="D1" s="4" t="s">
        <v>612</v>
      </c>
      <c r="E1" s="4" t="s">
        <v>37</v>
      </c>
      <c r="F1" s="4" t="s">
        <v>290</v>
      </c>
      <c r="G1" s="4" t="s">
        <v>474</v>
      </c>
      <c r="H1" s="4" t="s">
        <v>94</v>
      </c>
    </row>
    <row r="2" spans="1:8" x14ac:dyDescent="0.25">
      <c r="A2" t="s">
        <v>613</v>
      </c>
      <c r="B2" t="s">
        <v>614</v>
      </c>
      <c r="C2" t="s">
        <v>615</v>
      </c>
      <c r="D2" t="s">
        <v>616</v>
      </c>
      <c r="E2" t="s">
        <v>148</v>
      </c>
      <c r="F2" t="s">
        <v>311</v>
      </c>
      <c r="G2" t="s">
        <v>617</v>
      </c>
      <c r="H2" t="s">
        <v>100</v>
      </c>
    </row>
    <row r="3" spans="1:8" x14ac:dyDescent="0.25">
      <c r="A3" t="s">
        <v>613</v>
      </c>
      <c r="B3" t="s">
        <v>614</v>
      </c>
      <c r="C3" t="s">
        <v>191</v>
      </c>
      <c r="D3" t="s">
        <v>618</v>
      </c>
      <c r="E3" t="s">
        <v>138</v>
      </c>
      <c r="F3" t="s">
        <v>327</v>
      </c>
      <c r="G3" t="s">
        <v>619</v>
      </c>
      <c r="H3" t="s">
        <v>100</v>
      </c>
    </row>
    <row r="4" spans="1:8" x14ac:dyDescent="0.25">
      <c r="A4" t="s">
        <v>613</v>
      </c>
      <c r="B4" t="s">
        <v>620</v>
      </c>
      <c r="C4" t="s">
        <v>179</v>
      </c>
      <c r="D4" t="s">
        <v>621</v>
      </c>
      <c r="E4" t="s">
        <v>147</v>
      </c>
      <c r="F4" t="s">
        <v>307</v>
      </c>
      <c r="G4" t="s">
        <v>622</v>
      </c>
      <c r="H4" t="s">
        <v>100</v>
      </c>
    </row>
    <row r="5" spans="1:8" x14ac:dyDescent="0.25">
      <c r="A5" t="s">
        <v>613</v>
      </c>
      <c r="B5" t="s">
        <v>620</v>
      </c>
      <c r="C5" t="s">
        <v>183</v>
      </c>
      <c r="D5" t="s">
        <v>623</v>
      </c>
      <c r="E5" t="s">
        <v>148</v>
      </c>
      <c r="F5" t="s">
        <v>311</v>
      </c>
      <c r="G5" t="s">
        <v>624</v>
      </c>
      <c r="H5" t="s">
        <v>100</v>
      </c>
    </row>
    <row r="6" spans="1:8" x14ac:dyDescent="0.25">
      <c r="A6" t="s">
        <v>613</v>
      </c>
      <c r="B6" t="s">
        <v>620</v>
      </c>
      <c r="C6" t="s">
        <v>217</v>
      </c>
      <c r="D6" t="s">
        <v>625</v>
      </c>
      <c r="E6" t="s">
        <v>132</v>
      </c>
      <c r="F6" t="s">
        <v>382</v>
      </c>
      <c r="G6" t="s">
        <v>626</v>
      </c>
      <c r="H6" t="s">
        <v>100</v>
      </c>
    </row>
    <row r="7" spans="1:8" x14ac:dyDescent="0.25">
      <c r="A7" t="s">
        <v>613</v>
      </c>
      <c r="B7" t="s">
        <v>620</v>
      </c>
      <c r="C7" t="s">
        <v>219</v>
      </c>
      <c r="D7" t="s">
        <v>627</v>
      </c>
      <c r="E7" t="s">
        <v>133</v>
      </c>
      <c r="F7" t="s">
        <v>382</v>
      </c>
      <c r="G7" t="s">
        <v>628</v>
      </c>
      <c r="H7" t="s">
        <v>100</v>
      </c>
    </row>
    <row r="8" spans="1:8" x14ac:dyDescent="0.25">
      <c r="A8" t="s">
        <v>613</v>
      </c>
      <c r="B8" t="s">
        <v>620</v>
      </c>
      <c r="C8" t="s">
        <v>223</v>
      </c>
      <c r="D8" t="s">
        <v>629</v>
      </c>
      <c r="E8" t="s">
        <v>129</v>
      </c>
      <c r="F8" t="s">
        <v>390</v>
      </c>
      <c r="G8" t="s">
        <v>630</v>
      </c>
      <c r="H8" t="s">
        <v>100</v>
      </c>
    </row>
    <row r="9" spans="1:8" x14ac:dyDescent="0.25">
      <c r="A9" t="s">
        <v>613</v>
      </c>
      <c r="B9" t="s">
        <v>620</v>
      </c>
      <c r="C9" t="s">
        <v>225</v>
      </c>
      <c r="D9" t="s">
        <v>631</v>
      </c>
      <c r="E9" t="s">
        <v>136</v>
      </c>
      <c r="F9" t="s">
        <v>394</v>
      </c>
      <c r="G9" t="s">
        <v>632</v>
      </c>
      <c r="H9" t="s">
        <v>100</v>
      </c>
    </row>
    <row r="10" spans="1:8" x14ac:dyDescent="0.25">
      <c r="A10" t="s">
        <v>613</v>
      </c>
      <c r="B10" t="s">
        <v>620</v>
      </c>
      <c r="C10" t="s">
        <v>633</v>
      </c>
      <c r="D10" t="s">
        <v>634</v>
      </c>
      <c r="E10" t="s">
        <v>137</v>
      </c>
      <c r="F10" t="s">
        <v>398</v>
      </c>
      <c r="G10" t="s">
        <v>635</v>
      </c>
      <c r="H10" t="s">
        <v>100</v>
      </c>
    </row>
    <row r="11" spans="1:8" x14ac:dyDescent="0.25">
      <c r="A11" t="s">
        <v>613</v>
      </c>
      <c r="B11" t="s">
        <v>620</v>
      </c>
      <c r="C11" t="s">
        <v>229</v>
      </c>
      <c r="D11" t="s">
        <v>636</v>
      </c>
      <c r="E11" t="s">
        <v>130</v>
      </c>
      <c r="F11" t="s">
        <v>402</v>
      </c>
      <c r="G11" t="s">
        <v>637</v>
      </c>
      <c r="H11" t="s">
        <v>100</v>
      </c>
    </row>
    <row r="12" spans="1:8" x14ac:dyDescent="0.25">
      <c r="A12" t="s">
        <v>613</v>
      </c>
      <c r="B12" t="s">
        <v>620</v>
      </c>
      <c r="C12" t="s">
        <v>638</v>
      </c>
      <c r="D12" t="s">
        <v>639</v>
      </c>
      <c r="E12" t="s">
        <v>153</v>
      </c>
      <c r="F12" t="s">
        <v>420</v>
      </c>
      <c r="G12" t="s">
        <v>640</v>
      </c>
      <c r="H12" t="s">
        <v>100</v>
      </c>
    </row>
    <row r="13" spans="1:8" x14ac:dyDescent="0.25">
      <c r="A13" t="s">
        <v>613</v>
      </c>
      <c r="B13" t="s">
        <v>641</v>
      </c>
      <c r="C13" t="s">
        <v>591</v>
      </c>
      <c r="D13" t="s">
        <v>642</v>
      </c>
      <c r="E13" t="s">
        <v>121</v>
      </c>
      <c r="F13" t="s">
        <v>465</v>
      </c>
      <c r="G13" t="s">
        <v>643</v>
      </c>
      <c r="H13" t="s">
        <v>100</v>
      </c>
    </row>
    <row r="14" spans="1:8" x14ac:dyDescent="0.25">
      <c r="A14" t="s">
        <v>613</v>
      </c>
      <c r="B14" t="s">
        <v>641</v>
      </c>
      <c r="C14" t="s">
        <v>644</v>
      </c>
      <c r="D14" t="s">
        <v>645</v>
      </c>
      <c r="E14" t="s">
        <v>121</v>
      </c>
      <c r="F14" t="s">
        <v>465</v>
      </c>
      <c r="G14" t="s">
        <v>646</v>
      </c>
      <c r="H14" t="s">
        <v>100</v>
      </c>
    </row>
    <row r="15" spans="1:8" x14ac:dyDescent="0.25">
      <c r="A15" t="s">
        <v>613</v>
      </c>
      <c r="B15" t="s">
        <v>647</v>
      </c>
      <c r="C15" t="s">
        <v>566</v>
      </c>
      <c r="D15" t="s">
        <v>648</v>
      </c>
      <c r="E15" t="s">
        <v>123</v>
      </c>
      <c r="F15" t="s">
        <v>123</v>
      </c>
      <c r="G15" t="s">
        <v>649</v>
      </c>
      <c r="H15" t="s">
        <v>100</v>
      </c>
    </row>
    <row r="16" spans="1:8" x14ac:dyDescent="0.25">
      <c r="A16" t="s">
        <v>613</v>
      </c>
      <c r="B16" t="s">
        <v>647</v>
      </c>
      <c r="C16" t="s">
        <v>556</v>
      </c>
      <c r="D16" t="s">
        <v>650</v>
      </c>
      <c r="E16" t="s">
        <v>114</v>
      </c>
      <c r="F16" t="s">
        <v>114</v>
      </c>
      <c r="G16" t="s">
        <v>651</v>
      </c>
      <c r="H16" t="s">
        <v>100</v>
      </c>
    </row>
    <row r="17" spans="1:8" x14ac:dyDescent="0.25">
      <c r="A17" t="s">
        <v>613</v>
      </c>
      <c r="B17" t="s">
        <v>647</v>
      </c>
      <c r="C17" t="s">
        <v>563</v>
      </c>
      <c r="D17" t="s">
        <v>652</v>
      </c>
      <c r="E17" t="s">
        <v>119</v>
      </c>
      <c r="F17" t="s">
        <v>119</v>
      </c>
      <c r="G17" t="s">
        <v>653</v>
      </c>
      <c r="H17" t="s">
        <v>100</v>
      </c>
    </row>
    <row r="18" spans="1:8" x14ac:dyDescent="0.25">
      <c r="A18" t="s">
        <v>613</v>
      </c>
      <c r="B18" t="s">
        <v>647</v>
      </c>
      <c r="C18" t="s">
        <v>269</v>
      </c>
      <c r="D18" t="s">
        <v>654</v>
      </c>
      <c r="E18" t="s">
        <v>124</v>
      </c>
      <c r="F18" t="s">
        <v>124</v>
      </c>
      <c r="G18" t="s">
        <v>655</v>
      </c>
      <c r="H18" t="s">
        <v>100</v>
      </c>
    </row>
    <row r="19" spans="1:8" x14ac:dyDescent="0.25">
      <c r="A19" t="s">
        <v>613</v>
      </c>
      <c r="B19" t="s">
        <v>647</v>
      </c>
      <c r="C19" t="s">
        <v>569</v>
      </c>
      <c r="D19" t="s">
        <v>656</v>
      </c>
      <c r="E19" t="s">
        <v>122</v>
      </c>
      <c r="F19" t="s">
        <v>122</v>
      </c>
      <c r="G19" t="s">
        <v>657</v>
      </c>
      <c r="H19" t="s">
        <v>100</v>
      </c>
    </row>
    <row r="20" spans="1:8" x14ac:dyDescent="0.25">
      <c r="A20" t="s">
        <v>613</v>
      </c>
      <c r="B20" t="s">
        <v>647</v>
      </c>
      <c r="C20" t="s">
        <v>658</v>
      </c>
      <c r="D20" t="s">
        <v>659</v>
      </c>
      <c r="E20" t="s">
        <v>126</v>
      </c>
      <c r="F20" t="s">
        <v>126</v>
      </c>
      <c r="G20" t="s">
        <v>660</v>
      </c>
      <c r="H20" t="s">
        <v>100</v>
      </c>
    </row>
    <row r="21" spans="1:8" x14ac:dyDescent="0.25">
      <c r="A21" t="s">
        <v>613</v>
      </c>
      <c r="B21" t="s">
        <v>647</v>
      </c>
      <c r="C21" t="s">
        <v>661</v>
      </c>
      <c r="D21" t="s">
        <v>662</v>
      </c>
      <c r="E21" t="s">
        <v>121</v>
      </c>
      <c r="F21" t="s">
        <v>465</v>
      </c>
      <c r="G21" t="s">
        <v>663</v>
      </c>
      <c r="H21" t="s">
        <v>100</v>
      </c>
    </row>
    <row r="22" spans="1:8" x14ac:dyDescent="0.25">
      <c r="A22" t="s">
        <v>613</v>
      </c>
      <c r="B22" t="s">
        <v>647</v>
      </c>
      <c r="C22" t="s">
        <v>664</v>
      </c>
      <c r="D22" t="s">
        <v>665</v>
      </c>
      <c r="E22" t="s">
        <v>98</v>
      </c>
      <c r="F22" t="s">
        <v>98</v>
      </c>
      <c r="G22" t="s">
        <v>666</v>
      </c>
      <c r="H22" t="s">
        <v>100</v>
      </c>
    </row>
    <row r="23" spans="1:8" x14ac:dyDescent="0.25">
      <c r="A23" t="s">
        <v>613</v>
      </c>
      <c r="B23" t="s">
        <v>647</v>
      </c>
      <c r="C23" t="s">
        <v>667</v>
      </c>
      <c r="D23" t="s">
        <v>668</v>
      </c>
      <c r="E23" t="s">
        <v>98</v>
      </c>
      <c r="F23" t="s">
        <v>98</v>
      </c>
      <c r="G23" t="s">
        <v>669</v>
      </c>
      <c r="H23" t="s">
        <v>100</v>
      </c>
    </row>
    <row r="24" spans="1:8" x14ac:dyDescent="0.25">
      <c r="A24" t="s">
        <v>613</v>
      </c>
      <c r="B24" t="s">
        <v>647</v>
      </c>
      <c r="C24" t="s">
        <v>670</v>
      </c>
      <c r="D24" t="s">
        <v>671</v>
      </c>
      <c r="E24" t="s">
        <v>98</v>
      </c>
      <c r="F24" t="s">
        <v>608</v>
      </c>
      <c r="G24" t="s">
        <v>672</v>
      </c>
      <c r="H24" t="s">
        <v>100</v>
      </c>
    </row>
    <row r="25" spans="1:8" x14ac:dyDescent="0.25">
      <c r="A25" t="s">
        <v>613</v>
      </c>
      <c r="B25" t="s">
        <v>673</v>
      </c>
      <c r="C25" t="s">
        <v>674</v>
      </c>
      <c r="D25" t="s">
        <v>675</v>
      </c>
      <c r="E25" t="s">
        <v>98</v>
      </c>
      <c r="F25" t="s">
        <v>98</v>
      </c>
      <c r="G25" t="s">
        <v>676</v>
      </c>
      <c r="H25" t="s">
        <v>100</v>
      </c>
    </row>
    <row r="26" spans="1:8" x14ac:dyDescent="0.25">
      <c r="A26" t="s">
        <v>613</v>
      </c>
      <c r="B26" t="s">
        <v>673</v>
      </c>
      <c r="C26" t="s">
        <v>677</v>
      </c>
      <c r="D26" t="s">
        <v>678</v>
      </c>
      <c r="E26" t="s">
        <v>98</v>
      </c>
      <c r="F26" t="s">
        <v>608</v>
      </c>
      <c r="G26" t="s">
        <v>679</v>
      </c>
      <c r="H26" t="s">
        <v>100</v>
      </c>
    </row>
    <row r="27" spans="1:8" x14ac:dyDescent="0.25">
      <c r="A27" t="s">
        <v>613</v>
      </c>
      <c r="B27" t="s">
        <v>673</v>
      </c>
      <c r="C27" t="s">
        <v>680</v>
      </c>
      <c r="D27" t="s">
        <v>681</v>
      </c>
      <c r="E27" t="s">
        <v>682</v>
      </c>
      <c r="F27" t="s">
        <v>682</v>
      </c>
      <c r="G27" t="s">
        <v>683</v>
      </c>
      <c r="H27" t="s">
        <v>100</v>
      </c>
    </row>
    <row r="28" spans="1:8" x14ac:dyDescent="0.25">
      <c r="A28" t="s">
        <v>613</v>
      </c>
      <c r="B28" t="s">
        <v>673</v>
      </c>
      <c r="C28" t="s">
        <v>684</v>
      </c>
      <c r="D28" t="s">
        <v>685</v>
      </c>
      <c r="E28" t="s">
        <v>686</v>
      </c>
      <c r="F28" t="s">
        <v>686</v>
      </c>
      <c r="G28" t="s">
        <v>687</v>
      </c>
      <c r="H28" t="s">
        <v>100</v>
      </c>
    </row>
    <row r="29" spans="1:8" x14ac:dyDescent="0.25">
      <c r="A29" t="s">
        <v>613</v>
      </c>
      <c r="B29" t="s">
        <v>688</v>
      </c>
      <c r="C29" t="s">
        <v>277</v>
      </c>
      <c r="D29" t="s">
        <v>689</v>
      </c>
      <c r="E29" t="s">
        <v>104</v>
      </c>
      <c r="F29" t="s">
        <v>104</v>
      </c>
      <c r="G29" t="s">
        <v>690</v>
      </c>
      <c r="H29" t="s">
        <v>100</v>
      </c>
    </row>
    <row r="30" spans="1:8" x14ac:dyDescent="0.25">
      <c r="A30" t="s">
        <v>613</v>
      </c>
      <c r="B30" t="s">
        <v>688</v>
      </c>
      <c r="C30" t="s">
        <v>691</v>
      </c>
      <c r="D30" t="s">
        <v>692</v>
      </c>
      <c r="E30" t="s">
        <v>109</v>
      </c>
      <c r="F30" t="s">
        <v>109</v>
      </c>
      <c r="G30" t="s">
        <v>693</v>
      </c>
      <c r="H30" t="s">
        <v>100</v>
      </c>
    </row>
    <row r="31" spans="1:8" x14ac:dyDescent="0.25">
      <c r="A31" t="s">
        <v>613</v>
      </c>
      <c r="B31" t="s">
        <v>688</v>
      </c>
      <c r="C31" t="s">
        <v>694</v>
      </c>
      <c r="D31" t="s">
        <v>695</v>
      </c>
      <c r="E31" t="s">
        <v>696</v>
      </c>
      <c r="F31" t="s">
        <v>696</v>
      </c>
      <c r="G31" t="s">
        <v>697</v>
      </c>
      <c r="H31" t="s">
        <v>100</v>
      </c>
    </row>
    <row r="32" spans="1:8" x14ac:dyDescent="0.25">
      <c r="A32" t="s">
        <v>613</v>
      </c>
      <c r="B32" t="s">
        <v>688</v>
      </c>
      <c r="C32" t="s">
        <v>698</v>
      </c>
      <c r="D32" t="s">
        <v>699</v>
      </c>
      <c r="E32" t="s">
        <v>700</v>
      </c>
      <c r="F32" t="s">
        <v>700</v>
      </c>
      <c r="G32" t="s">
        <v>701</v>
      </c>
      <c r="H32" t="s">
        <v>100</v>
      </c>
    </row>
    <row r="33" spans="1:8" x14ac:dyDescent="0.25">
      <c r="A33" t="s">
        <v>613</v>
      </c>
      <c r="B33" t="s">
        <v>688</v>
      </c>
      <c r="C33" t="s">
        <v>702</v>
      </c>
      <c r="D33" t="s">
        <v>703</v>
      </c>
      <c r="E33" t="s">
        <v>704</v>
      </c>
      <c r="F33" t="s">
        <v>704</v>
      </c>
      <c r="G33" t="s">
        <v>705</v>
      </c>
      <c r="H33" t="s">
        <v>100</v>
      </c>
    </row>
    <row r="34" spans="1:8" x14ac:dyDescent="0.25">
      <c r="A34" t="s">
        <v>613</v>
      </c>
      <c r="B34" t="s">
        <v>688</v>
      </c>
      <c r="C34" t="s">
        <v>706</v>
      </c>
      <c r="D34" t="s">
        <v>707</v>
      </c>
      <c r="E34" t="s">
        <v>147</v>
      </c>
      <c r="F34" t="s">
        <v>307</v>
      </c>
      <c r="G34" t="s">
        <v>708</v>
      </c>
      <c r="H34" t="s">
        <v>100</v>
      </c>
    </row>
    <row r="35" spans="1:8" x14ac:dyDescent="0.25">
      <c r="A35" t="s">
        <v>613</v>
      </c>
      <c r="B35" t="s">
        <v>688</v>
      </c>
      <c r="C35" t="s">
        <v>709</v>
      </c>
      <c r="D35" t="s">
        <v>710</v>
      </c>
      <c r="E35" t="s">
        <v>148</v>
      </c>
      <c r="F35" t="s">
        <v>311</v>
      </c>
      <c r="G35" t="s">
        <v>711</v>
      </c>
      <c r="H35" t="s">
        <v>100</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68"/>
  <sheetViews>
    <sheetView workbookViewId="0">
      <pane ySplit="1" topLeftCell="A2" activePane="bottomLeft" state="frozen"/>
      <selection pane="bottomLeft"/>
    </sheetView>
  </sheetViews>
  <sheetFormatPr defaultRowHeight="15" x14ac:dyDescent="0.25"/>
  <cols>
    <col min="1" max="1" width="17" customWidth="1"/>
    <col min="2" max="2" width="14" customWidth="1"/>
    <col min="3" max="3" width="19" customWidth="1"/>
    <col min="4" max="5" width="38" customWidth="1"/>
    <col min="6" max="6" width="18" customWidth="1"/>
    <col min="7" max="7" width="19" customWidth="1"/>
    <col min="8" max="10" width="38" customWidth="1"/>
    <col min="11" max="11" width="24" customWidth="1"/>
    <col min="12" max="12" width="20" customWidth="1"/>
  </cols>
  <sheetData>
    <row r="1" spans="1:12" x14ac:dyDescent="0.25">
      <c r="A1" s="4" t="s">
        <v>712</v>
      </c>
      <c r="B1" s="4" t="s">
        <v>713</v>
      </c>
      <c r="C1" s="4" t="s">
        <v>714</v>
      </c>
      <c r="D1" s="4" t="s">
        <v>715</v>
      </c>
      <c r="E1" s="4" t="s">
        <v>291</v>
      </c>
      <c r="F1" s="4" t="s">
        <v>297</v>
      </c>
      <c r="G1" s="4" t="s">
        <v>295</v>
      </c>
      <c r="H1" s="4" t="s">
        <v>296</v>
      </c>
      <c r="I1" s="4" t="s">
        <v>716</v>
      </c>
      <c r="J1" s="4" t="s">
        <v>717</v>
      </c>
      <c r="K1" s="4" t="s">
        <v>37</v>
      </c>
      <c r="L1" s="4" t="s">
        <v>94</v>
      </c>
    </row>
    <row r="2" spans="1:12" x14ac:dyDescent="0.25">
      <c r="A2" t="s">
        <v>718</v>
      </c>
      <c r="B2" t="s">
        <v>719</v>
      </c>
      <c r="C2" t="s">
        <v>720</v>
      </c>
      <c r="D2" t="s">
        <v>721</v>
      </c>
      <c r="E2" t="s">
        <v>368</v>
      </c>
      <c r="F2" t="s">
        <v>722</v>
      </c>
      <c r="G2" t="s">
        <v>723</v>
      </c>
      <c r="H2" t="s">
        <v>724</v>
      </c>
      <c r="I2" t="s">
        <v>725</v>
      </c>
      <c r="J2" t="s">
        <v>724</v>
      </c>
      <c r="L2" t="s">
        <v>105</v>
      </c>
    </row>
    <row r="3" spans="1:12" x14ac:dyDescent="0.25">
      <c r="A3" t="s">
        <v>718</v>
      </c>
      <c r="B3" t="s">
        <v>719</v>
      </c>
      <c r="C3" t="s">
        <v>720</v>
      </c>
      <c r="D3" t="s">
        <v>726</v>
      </c>
      <c r="E3" t="s">
        <v>727</v>
      </c>
      <c r="F3" t="s">
        <v>722</v>
      </c>
      <c r="G3" t="s">
        <v>723</v>
      </c>
      <c r="H3" t="s">
        <v>724</v>
      </c>
      <c r="I3" t="s">
        <v>728</v>
      </c>
      <c r="J3" t="s">
        <v>724</v>
      </c>
      <c r="L3" t="s">
        <v>105</v>
      </c>
    </row>
    <row r="4" spans="1:12" x14ac:dyDescent="0.25">
      <c r="A4" t="s">
        <v>718</v>
      </c>
      <c r="B4" t="s">
        <v>719</v>
      </c>
      <c r="C4" t="s">
        <v>720</v>
      </c>
      <c r="D4" t="s">
        <v>729</v>
      </c>
      <c r="E4" t="s">
        <v>730</v>
      </c>
      <c r="F4" t="s">
        <v>722</v>
      </c>
      <c r="G4" t="s">
        <v>723</v>
      </c>
      <c r="H4" t="s">
        <v>724</v>
      </c>
      <c r="I4" t="s">
        <v>731</v>
      </c>
      <c r="J4" t="s">
        <v>724</v>
      </c>
      <c r="L4" t="s">
        <v>105</v>
      </c>
    </row>
    <row r="5" spans="1:12" x14ac:dyDescent="0.25">
      <c r="A5" t="s">
        <v>718</v>
      </c>
      <c r="B5" t="s">
        <v>719</v>
      </c>
      <c r="C5" t="s">
        <v>720</v>
      </c>
      <c r="D5" t="s">
        <v>732</v>
      </c>
      <c r="E5" t="s">
        <v>733</v>
      </c>
      <c r="F5" t="s">
        <v>734</v>
      </c>
      <c r="G5" t="s">
        <v>723</v>
      </c>
      <c r="H5" t="s">
        <v>724</v>
      </c>
      <c r="I5" t="s">
        <v>735</v>
      </c>
      <c r="J5" t="s">
        <v>724</v>
      </c>
      <c r="L5" t="s">
        <v>105</v>
      </c>
    </row>
    <row r="6" spans="1:12" x14ac:dyDescent="0.25">
      <c r="A6" t="s">
        <v>718</v>
      </c>
      <c r="B6" t="s">
        <v>719</v>
      </c>
      <c r="C6" t="s">
        <v>720</v>
      </c>
      <c r="D6" t="s">
        <v>736</v>
      </c>
      <c r="E6" t="s">
        <v>429</v>
      </c>
      <c r="F6" t="s">
        <v>722</v>
      </c>
      <c r="G6" t="s">
        <v>723</v>
      </c>
      <c r="H6" t="s">
        <v>724</v>
      </c>
      <c r="I6" t="s">
        <v>737</v>
      </c>
      <c r="J6" t="s">
        <v>724</v>
      </c>
      <c r="L6" t="s">
        <v>105</v>
      </c>
    </row>
    <row r="7" spans="1:12" x14ac:dyDescent="0.25">
      <c r="A7" t="s">
        <v>718</v>
      </c>
      <c r="B7" t="s">
        <v>719</v>
      </c>
      <c r="C7" t="s">
        <v>720</v>
      </c>
      <c r="D7" t="s">
        <v>738</v>
      </c>
      <c r="E7" t="s">
        <v>739</v>
      </c>
      <c r="F7" t="s">
        <v>734</v>
      </c>
      <c r="G7" t="s">
        <v>723</v>
      </c>
      <c r="H7" t="s">
        <v>724</v>
      </c>
      <c r="I7" t="s">
        <v>740</v>
      </c>
      <c r="J7" t="s">
        <v>724</v>
      </c>
      <c r="L7" t="s">
        <v>105</v>
      </c>
    </row>
    <row r="8" spans="1:12" x14ac:dyDescent="0.25">
      <c r="A8" t="s">
        <v>718</v>
      </c>
      <c r="B8" t="s">
        <v>719</v>
      </c>
      <c r="C8" t="s">
        <v>720</v>
      </c>
      <c r="D8" t="s">
        <v>741</v>
      </c>
      <c r="E8" t="s">
        <v>451</v>
      </c>
      <c r="F8" t="s">
        <v>734</v>
      </c>
      <c r="G8" t="s">
        <v>723</v>
      </c>
      <c r="H8" t="s">
        <v>724</v>
      </c>
      <c r="I8" t="s">
        <v>742</v>
      </c>
      <c r="J8" t="s">
        <v>724</v>
      </c>
      <c r="L8" t="s">
        <v>105</v>
      </c>
    </row>
    <row r="9" spans="1:12" x14ac:dyDescent="0.25">
      <c r="A9" t="s">
        <v>718</v>
      </c>
      <c r="B9" t="s">
        <v>719</v>
      </c>
      <c r="C9" t="s">
        <v>720</v>
      </c>
      <c r="D9" t="s">
        <v>743</v>
      </c>
      <c r="E9" t="s">
        <v>90</v>
      </c>
      <c r="F9" t="s">
        <v>722</v>
      </c>
      <c r="G9" t="s">
        <v>723</v>
      </c>
      <c r="H9" t="s">
        <v>724</v>
      </c>
      <c r="I9" t="s">
        <v>744</v>
      </c>
      <c r="J9" t="s">
        <v>724</v>
      </c>
      <c r="L9" t="s">
        <v>105</v>
      </c>
    </row>
    <row r="10" spans="1:12" x14ac:dyDescent="0.25">
      <c r="A10" t="s">
        <v>718</v>
      </c>
      <c r="B10" t="s">
        <v>719</v>
      </c>
      <c r="C10" t="s">
        <v>720</v>
      </c>
      <c r="D10" t="s">
        <v>745</v>
      </c>
      <c r="E10" t="s">
        <v>746</v>
      </c>
      <c r="F10" t="s">
        <v>734</v>
      </c>
      <c r="G10" t="s">
        <v>723</v>
      </c>
      <c r="H10" t="s">
        <v>724</v>
      </c>
      <c r="I10" t="s">
        <v>747</v>
      </c>
      <c r="J10" t="s">
        <v>724</v>
      </c>
      <c r="L10" t="s">
        <v>105</v>
      </c>
    </row>
    <row r="11" spans="1:12" x14ac:dyDescent="0.25">
      <c r="A11" t="s">
        <v>718</v>
      </c>
      <c r="B11" t="s">
        <v>719</v>
      </c>
      <c r="C11" t="s">
        <v>720</v>
      </c>
      <c r="D11" t="s">
        <v>748</v>
      </c>
      <c r="E11" t="s">
        <v>730</v>
      </c>
      <c r="F11" t="s">
        <v>722</v>
      </c>
      <c r="G11" t="s">
        <v>723</v>
      </c>
      <c r="H11" t="s">
        <v>724</v>
      </c>
      <c r="I11" t="s">
        <v>749</v>
      </c>
      <c r="J11" t="s">
        <v>724</v>
      </c>
      <c r="L11" t="s">
        <v>105</v>
      </c>
    </row>
    <row r="12" spans="1:12" x14ac:dyDescent="0.25">
      <c r="A12" t="s">
        <v>718</v>
      </c>
      <c r="B12" t="s">
        <v>719</v>
      </c>
      <c r="C12" t="s">
        <v>720</v>
      </c>
      <c r="D12" t="s">
        <v>750</v>
      </c>
      <c r="E12" t="s">
        <v>751</v>
      </c>
      <c r="F12" t="s">
        <v>734</v>
      </c>
      <c r="G12" t="s">
        <v>723</v>
      </c>
      <c r="H12" t="s">
        <v>724</v>
      </c>
      <c r="I12" t="s">
        <v>752</v>
      </c>
      <c r="J12" t="s">
        <v>724</v>
      </c>
      <c r="L12" t="s">
        <v>105</v>
      </c>
    </row>
    <row r="13" spans="1:12" x14ac:dyDescent="0.25">
      <c r="A13" t="s">
        <v>718</v>
      </c>
      <c r="B13" t="s">
        <v>719</v>
      </c>
      <c r="C13" t="s">
        <v>720</v>
      </c>
      <c r="D13" t="s">
        <v>753</v>
      </c>
      <c r="E13" t="s">
        <v>754</v>
      </c>
      <c r="F13" t="s">
        <v>722</v>
      </c>
      <c r="G13" t="s">
        <v>723</v>
      </c>
      <c r="H13" t="s">
        <v>724</v>
      </c>
      <c r="I13" t="s">
        <v>755</v>
      </c>
      <c r="J13" t="s">
        <v>724</v>
      </c>
      <c r="L13" t="s">
        <v>105</v>
      </c>
    </row>
    <row r="14" spans="1:12" x14ac:dyDescent="0.25">
      <c r="A14" t="s">
        <v>718</v>
      </c>
      <c r="B14" t="s">
        <v>719</v>
      </c>
      <c r="C14" t="s">
        <v>720</v>
      </c>
      <c r="D14" t="s">
        <v>756</v>
      </c>
      <c r="E14" t="s">
        <v>462</v>
      </c>
      <c r="F14" t="s">
        <v>722</v>
      </c>
      <c r="G14" t="s">
        <v>723</v>
      </c>
      <c r="H14" t="s">
        <v>724</v>
      </c>
      <c r="I14" t="s">
        <v>757</v>
      </c>
      <c r="J14" t="s">
        <v>724</v>
      </c>
      <c r="L14" t="s">
        <v>105</v>
      </c>
    </row>
    <row r="15" spans="1:12" x14ac:dyDescent="0.25">
      <c r="A15" t="s">
        <v>718</v>
      </c>
      <c r="B15" t="s">
        <v>719</v>
      </c>
      <c r="C15" t="s">
        <v>720</v>
      </c>
      <c r="D15" t="s">
        <v>758</v>
      </c>
      <c r="E15" t="s">
        <v>759</v>
      </c>
      <c r="F15" t="s">
        <v>734</v>
      </c>
      <c r="G15" t="s">
        <v>723</v>
      </c>
      <c r="H15" t="s">
        <v>724</v>
      </c>
      <c r="I15" t="s">
        <v>760</v>
      </c>
      <c r="J15" t="s">
        <v>724</v>
      </c>
      <c r="L15" t="s">
        <v>105</v>
      </c>
    </row>
    <row r="16" spans="1:12" x14ac:dyDescent="0.25">
      <c r="A16" t="s">
        <v>718</v>
      </c>
      <c r="B16" t="s">
        <v>719</v>
      </c>
      <c r="C16" t="s">
        <v>720</v>
      </c>
      <c r="D16" t="s">
        <v>761</v>
      </c>
      <c r="E16" t="s">
        <v>730</v>
      </c>
      <c r="F16" t="s">
        <v>722</v>
      </c>
      <c r="H16" t="s">
        <v>724</v>
      </c>
      <c r="I16" t="s">
        <v>762</v>
      </c>
      <c r="J16" t="s">
        <v>724</v>
      </c>
      <c r="L16" t="s">
        <v>105</v>
      </c>
    </row>
    <row r="17" spans="1:12" x14ac:dyDescent="0.25">
      <c r="A17" t="s">
        <v>718</v>
      </c>
      <c r="B17" t="s">
        <v>719</v>
      </c>
      <c r="C17" t="s">
        <v>720</v>
      </c>
      <c r="D17" t="s">
        <v>763</v>
      </c>
      <c r="E17" t="s">
        <v>733</v>
      </c>
      <c r="F17" t="s">
        <v>734</v>
      </c>
      <c r="H17" t="s">
        <v>724</v>
      </c>
      <c r="I17" t="s">
        <v>764</v>
      </c>
      <c r="J17" t="s">
        <v>724</v>
      </c>
      <c r="L17" t="s">
        <v>105</v>
      </c>
    </row>
    <row r="18" spans="1:12" x14ac:dyDescent="0.25">
      <c r="A18" t="s">
        <v>718</v>
      </c>
      <c r="B18" t="s">
        <v>719</v>
      </c>
      <c r="C18" t="s">
        <v>720</v>
      </c>
      <c r="D18" t="s">
        <v>765</v>
      </c>
      <c r="E18" t="s">
        <v>90</v>
      </c>
      <c r="F18" t="s">
        <v>734</v>
      </c>
      <c r="G18" t="s">
        <v>723</v>
      </c>
      <c r="H18" t="s">
        <v>724</v>
      </c>
      <c r="I18" t="s">
        <v>766</v>
      </c>
      <c r="J18" t="s">
        <v>724</v>
      </c>
      <c r="L18" t="s">
        <v>105</v>
      </c>
    </row>
    <row r="19" spans="1:12" x14ac:dyDescent="0.25">
      <c r="A19" t="s">
        <v>718</v>
      </c>
      <c r="B19" t="s">
        <v>719</v>
      </c>
      <c r="C19" t="s">
        <v>720</v>
      </c>
      <c r="D19" t="s">
        <v>767</v>
      </c>
      <c r="E19" t="s">
        <v>730</v>
      </c>
      <c r="F19" t="s">
        <v>722</v>
      </c>
      <c r="H19" t="s">
        <v>724</v>
      </c>
      <c r="I19" t="s">
        <v>768</v>
      </c>
      <c r="J19" t="s">
        <v>724</v>
      </c>
      <c r="L19" t="s">
        <v>105</v>
      </c>
    </row>
    <row r="20" spans="1:12" x14ac:dyDescent="0.25">
      <c r="A20" t="s">
        <v>718</v>
      </c>
      <c r="B20" t="s">
        <v>719</v>
      </c>
      <c r="C20" t="s">
        <v>720</v>
      </c>
      <c r="D20" t="s">
        <v>769</v>
      </c>
      <c r="E20" t="s">
        <v>90</v>
      </c>
      <c r="F20" t="s">
        <v>734</v>
      </c>
      <c r="G20" t="s">
        <v>723</v>
      </c>
      <c r="H20" t="s">
        <v>724</v>
      </c>
      <c r="I20" t="s">
        <v>770</v>
      </c>
      <c r="J20" t="s">
        <v>724</v>
      </c>
      <c r="L20" t="s">
        <v>105</v>
      </c>
    </row>
    <row r="21" spans="1:12" x14ac:dyDescent="0.25">
      <c r="A21" t="s">
        <v>718</v>
      </c>
      <c r="B21" t="s">
        <v>719</v>
      </c>
      <c r="C21" t="s">
        <v>720</v>
      </c>
      <c r="D21" t="s">
        <v>771</v>
      </c>
      <c r="E21" t="s">
        <v>368</v>
      </c>
      <c r="F21" t="s">
        <v>734</v>
      </c>
      <c r="G21" t="s">
        <v>723</v>
      </c>
      <c r="H21" t="s">
        <v>724</v>
      </c>
      <c r="I21" t="s">
        <v>772</v>
      </c>
      <c r="J21" t="s">
        <v>724</v>
      </c>
      <c r="L21" t="s">
        <v>105</v>
      </c>
    </row>
    <row r="22" spans="1:12" x14ac:dyDescent="0.25">
      <c r="A22" t="s">
        <v>718</v>
      </c>
      <c r="B22" t="s">
        <v>719</v>
      </c>
      <c r="C22" t="s">
        <v>720</v>
      </c>
      <c r="D22" t="s">
        <v>773</v>
      </c>
      <c r="E22" t="s">
        <v>759</v>
      </c>
      <c r="F22" t="s">
        <v>734</v>
      </c>
      <c r="G22" t="s">
        <v>723</v>
      </c>
      <c r="H22" t="s">
        <v>724</v>
      </c>
      <c r="I22" t="s">
        <v>774</v>
      </c>
      <c r="J22" t="s">
        <v>724</v>
      </c>
      <c r="L22" t="s">
        <v>105</v>
      </c>
    </row>
    <row r="23" spans="1:12" x14ac:dyDescent="0.25">
      <c r="A23" t="s">
        <v>718</v>
      </c>
      <c r="B23" t="s">
        <v>719</v>
      </c>
      <c r="C23" t="s">
        <v>720</v>
      </c>
      <c r="D23" t="s">
        <v>775</v>
      </c>
      <c r="E23" t="s">
        <v>776</v>
      </c>
      <c r="F23" t="s">
        <v>722</v>
      </c>
      <c r="G23" t="s">
        <v>723</v>
      </c>
      <c r="H23" t="s">
        <v>724</v>
      </c>
      <c r="I23" t="s">
        <v>777</v>
      </c>
      <c r="J23" t="s">
        <v>724</v>
      </c>
      <c r="L23" t="s">
        <v>105</v>
      </c>
    </row>
    <row r="24" spans="1:12" x14ac:dyDescent="0.25">
      <c r="A24" t="s">
        <v>718</v>
      </c>
      <c r="B24" t="s">
        <v>719</v>
      </c>
      <c r="C24" t="s">
        <v>720</v>
      </c>
      <c r="D24" t="s">
        <v>778</v>
      </c>
      <c r="E24" t="s">
        <v>451</v>
      </c>
      <c r="F24" t="s">
        <v>734</v>
      </c>
      <c r="G24" t="s">
        <v>723</v>
      </c>
      <c r="H24" t="s">
        <v>724</v>
      </c>
      <c r="I24" t="s">
        <v>779</v>
      </c>
      <c r="J24" t="s">
        <v>724</v>
      </c>
      <c r="L24" t="s">
        <v>105</v>
      </c>
    </row>
    <row r="25" spans="1:12" x14ac:dyDescent="0.25">
      <c r="A25" t="s">
        <v>718</v>
      </c>
      <c r="B25" t="s">
        <v>719</v>
      </c>
      <c r="C25" t="s">
        <v>720</v>
      </c>
      <c r="D25" t="s">
        <v>780</v>
      </c>
      <c r="E25" t="s">
        <v>90</v>
      </c>
      <c r="F25" t="s">
        <v>734</v>
      </c>
      <c r="G25" t="s">
        <v>723</v>
      </c>
      <c r="H25" t="s">
        <v>724</v>
      </c>
      <c r="I25" t="s">
        <v>781</v>
      </c>
      <c r="J25" t="s">
        <v>724</v>
      </c>
      <c r="L25" t="s">
        <v>105</v>
      </c>
    </row>
    <row r="26" spans="1:12" x14ac:dyDescent="0.25">
      <c r="A26" t="s">
        <v>718</v>
      </c>
      <c r="B26" t="s">
        <v>719</v>
      </c>
      <c r="C26" t="s">
        <v>720</v>
      </c>
      <c r="D26" t="s">
        <v>782</v>
      </c>
      <c r="E26" t="s">
        <v>783</v>
      </c>
      <c r="F26" t="s">
        <v>722</v>
      </c>
      <c r="G26" t="s">
        <v>723</v>
      </c>
      <c r="H26" t="s">
        <v>724</v>
      </c>
      <c r="I26" t="s">
        <v>784</v>
      </c>
      <c r="J26" t="s">
        <v>724</v>
      </c>
      <c r="L26" t="s">
        <v>105</v>
      </c>
    </row>
    <row r="27" spans="1:12" x14ac:dyDescent="0.25">
      <c r="A27" t="s">
        <v>718</v>
      </c>
      <c r="B27" t="s">
        <v>719</v>
      </c>
      <c r="C27" t="s">
        <v>720</v>
      </c>
      <c r="D27" t="s">
        <v>785</v>
      </c>
      <c r="E27" t="s">
        <v>786</v>
      </c>
      <c r="F27" t="s">
        <v>734</v>
      </c>
      <c r="G27" t="s">
        <v>723</v>
      </c>
      <c r="H27" t="s">
        <v>724</v>
      </c>
      <c r="I27" t="s">
        <v>787</v>
      </c>
      <c r="J27" t="s">
        <v>724</v>
      </c>
      <c r="L27" t="s">
        <v>105</v>
      </c>
    </row>
    <row r="28" spans="1:12" x14ac:dyDescent="0.25">
      <c r="A28" t="s">
        <v>718</v>
      </c>
      <c r="B28" t="s">
        <v>719</v>
      </c>
      <c r="C28" t="s">
        <v>788</v>
      </c>
      <c r="D28" t="s">
        <v>789</v>
      </c>
      <c r="E28" t="s">
        <v>368</v>
      </c>
      <c r="F28" t="s">
        <v>734</v>
      </c>
      <c r="G28" t="s">
        <v>723</v>
      </c>
      <c r="H28" t="s">
        <v>790</v>
      </c>
      <c r="I28" t="s">
        <v>791</v>
      </c>
      <c r="J28" t="s">
        <v>790</v>
      </c>
      <c r="L28" t="s">
        <v>105</v>
      </c>
    </row>
    <row r="29" spans="1:12" x14ac:dyDescent="0.25">
      <c r="A29" t="s">
        <v>718</v>
      </c>
      <c r="B29" t="s">
        <v>719</v>
      </c>
      <c r="C29" t="s">
        <v>788</v>
      </c>
      <c r="D29" t="s">
        <v>792</v>
      </c>
      <c r="E29" t="s">
        <v>429</v>
      </c>
      <c r="F29" t="s">
        <v>734</v>
      </c>
      <c r="G29" t="s">
        <v>723</v>
      </c>
      <c r="H29" t="s">
        <v>790</v>
      </c>
      <c r="I29" t="s">
        <v>793</v>
      </c>
      <c r="J29" t="s">
        <v>790</v>
      </c>
      <c r="L29" t="s">
        <v>105</v>
      </c>
    </row>
    <row r="30" spans="1:12" x14ac:dyDescent="0.25">
      <c r="A30" t="s">
        <v>718</v>
      </c>
      <c r="B30" t="s">
        <v>719</v>
      </c>
      <c r="C30" t="s">
        <v>788</v>
      </c>
      <c r="D30" t="s">
        <v>794</v>
      </c>
      <c r="E30" t="s">
        <v>368</v>
      </c>
      <c r="F30" t="s">
        <v>722</v>
      </c>
      <c r="G30" t="s">
        <v>723</v>
      </c>
      <c r="H30" t="s">
        <v>790</v>
      </c>
      <c r="I30" t="s">
        <v>795</v>
      </c>
      <c r="J30" t="s">
        <v>790</v>
      </c>
      <c r="L30" t="s">
        <v>105</v>
      </c>
    </row>
    <row r="31" spans="1:12" x14ac:dyDescent="0.25">
      <c r="A31" t="s">
        <v>718</v>
      </c>
      <c r="B31" t="s">
        <v>719</v>
      </c>
      <c r="C31" t="s">
        <v>788</v>
      </c>
      <c r="D31" t="s">
        <v>796</v>
      </c>
      <c r="E31" t="s">
        <v>462</v>
      </c>
      <c r="F31" t="s">
        <v>722</v>
      </c>
      <c r="G31" t="s">
        <v>723</v>
      </c>
      <c r="H31" t="s">
        <v>790</v>
      </c>
      <c r="I31" t="s">
        <v>797</v>
      </c>
      <c r="J31" t="s">
        <v>790</v>
      </c>
      <c r="L31" t="s">
        <v>105</v>
      </c>
    </row>
    <row r="32" spans="1:12" x14ac:dyDescent="0.25">
      <c r="A32" t="s">
        <v>718</v>
      </c>
      <c r="B32" t="s">
        <v>719</v>
      </c>
      <c r="C32" t="s">
        <v>788</v>
      </c>
      <c r="D32" t="s">
        <v>798</v>
      </c>
      <c r="E32" t="s">
        <v>368</v>
      </c>
      <c r="F32" t="s">
        <v>734</v>
      </c>
      <c r="G32" t="s">
        <v>723</v>
      </c>
      <c r="H32" t="s">
        <v>790</v>
      </c>
      <c r="I32" t="s">
        <v>799</v>
      </c>
      <c r="J32" t="s">
        <v>790</v>
      </c>
      <c r="L32" t="s">
        <v>105</v>
      </c>
    </row>
    <row r="33" spans="1:12" x14ac:dyDescent="0.25">
      <c r="A33" t="s">
        <v>718</v>
      </c>
      <c r="B33" t="s">
        <v>719</v>
      </c>
      <c r="C33" t="s">
        <v>788</v>
      </c>
      <c r="D33" t="s">
        <v>800</v>
      </c>
      <c r="E33" t="s">
        <v>730</v>
      </c>
      <c r="F33" t="s">
        <v>722</v>
      </c>
      <c r="H33" t="s">
        <v>790</v>
      </c>
      <c r="I33" t="s">
        <v>762</v>
      </c>
      <c r="J33" t="s">
        <v>790</v>
      </c>
      <c r="L33" t="s">
        <v>105</v>
      </c>
    </row>
    <row r="34" spans="1:12" x14ac:dyDescent="0.25">
      <c r="A34" t="s">
        <v>718</v>
      </c>
      <c r="B34" t="s">
        <v>719</v>
      </c>
      <c r="C34" t="s">
        <v>788</v>
      </c>
      <c r="D34" t="s">
        <v>801</v>
      </c>
      <c r="E34" t="s">
        <v>733</v>
      </c>
      <c r="F34" t="s">
        <v>734</v>
      </c>
      <c r="H34" t="s">
        <v>790</v>
      </c>
      <c r="I34" t="s">
        <v>764</v>
      </c>
      <c r="J34" t="s">
        <v>790</v>
      </c>
      <c r="L34" t="s">
        <v>105</v>
      </c>
    </row>
    <row r="35" spans="1:12" x14ac:dyDescent="0.25">
      <c r="A35" t="s">
        <v>718</v>
      </c>
      <c r="B35" t="s">
        <v>719</v>
      </c>
      <c r="C35" t="s">
        <v>788</v>
      </c>
      <c r="D35" t="s">
        <v>802</v>
      </c>
      <c r="E35" t="s">
        <v>730</v>
      </c>
      <c r="F35" t="s">
        <v>722</v>
      </c>
      <c r="H35" t="s">
        <v>790</v>
      </c>
      <c r="I35" t="s">
        <v>768</v>
      </c>
      <c r="J35" t="s">
        <v>790</v>
      </c>
      <c r="L35" t="s">
        <v>105</v>
      </c>
    </row>
    <row r="36" spans="1:12" x14ac:dyDescent="0.25">
      <c r="A36" t="s">
        <v>718</v>
      </c>
      <c r="B36" t="s">
        <v>719</v>
      </c>
      <c r="C36" t="s">
        <v>788</v>
      </c>
      <c r="D36" t="s">
        <v>803</v>
      </c>
      <c r="E36" t="s">
        <v>368</v>
      </c>
      <c r="F36" t="s">
        <v>804</v>
      </c>
      <c r="G36" t="s">
        <v>723</v>
      </c>
      <c r="H36" t="s">
        <v>790</v>
      </c>
      <c r="I36" t="s">
        <v>805</v>
      </c>
      <c r="J36" t="s">
        <v>790</v>
      </c>
      <c r="L36" t="s">
        <v>105</v>
      </c>
    </row>
    <row r="37" spans="1:12" x14ac:dyDescent="0.25">
      <c r="A37" t="s">
        <v>718</v>
      </c>
      <c r="B37" t="s">
        <v>719</v>
      </c>
      <c r="C37" t="s">
        <v>788</v>
      </c>
      <c r="D37" t="s">
        <v>806</v>
      </c>
      <c r="E37" t="s">
        <v>751</v>
      </c>
      <c r="F37" t="s">
        <v>734</v>
      </c>
      <c r="G37" t="s">
        <v>723</v>
      </c>
      <c r="H37" t="s">
        <v>790</v>
      </c>
      <c r="I37" t="s">
        <v>807</v>
      </c>
      <c r="J37" t="s">
        <v>790</v>
      </c>
      <c r="L37" t="s">
        <v>105</v>
      </c>
    </row>
    <row r="38" spans="1:12" x14ac:dyDescent="0.25">
      <c r="A38" t="s">
        <v>718</v>
      </c>
      <c r="B38" t="s">
        <v>719</v>
      </c>
      <c r="C38" t="s">
        <v>788</v>
      </c>
      <c r="D38" t="s">
        <v>808</v>
      </c>
      <c r="E38" t="s">
        <v>783</v>
      </c>
      <c r="F38" t="s">
        <v>722</v>
      </c>
      <c r="G38" t="s">
        <v>723</v>
      </c>
      <c r="H38" t="s">
        <v>790</v>
      </c>
      <c r="I38" t="s">
        <v>809</v>
      </c>
      <c r="J38" t="s">
        <v>790</v>
      </c>
      <c r="L38" t="s">
        <v>105</v>
      </c>
    </row>
    <row r="39" spans="1:12" x14ac:dyDescent="0.25">
      <c r="A39" t="s">
        <v>718</v>
      </c>
      <c r="B39" t="s">
        <v>719</v>
      </c>
      <c r="C39" t="s">
        <v>788</v>
      </c>
      <c r="D39" t="s">
        <v>810</v>
      </c>
      <c r="E39" t="s">
        <v>727</v>
      </c>
      <c r="F39" t="s">
        <v>722</v>
      </c>
      <c r="G39" t="s">
        <v>723</v>
      </c>
      <c r="H39" t="s">
        <v>790</v>
      </c>
      <c r="I39" t="s">
        <v>728</v>
      </c>
      <c r="J39" t="s">
        <v>790</v>
      </c>
      <c r="L39" t="s">
        <v>105</v>
      </c>
    </row>
    <row r="40" spans="1:12" x14ac:dyDescent="0.25">
      <c r="A40" t="s">
        <v>718</v>
      </c>
      <c r="B40" t="s">
        <v>719</v>
      </c>
      <c r="C40" t="s">
        <v>788</v>
      </c>
      <c r="D40" t="s">
        <v>811</v>
      </c>
      <c r="E40" t="s">
        <v>812</v>
      </c>
      <c r="F40" t="s">
        <v>734</v>
      </c>
      <c r="G40" t="s">
        <v>723</v>
      </c>
      <c r="H40" t="s">
        <v>790</v>
      </c>
      <c r="I40" t="s">
        <v>813</v>
      </c>
      <c r="J40" t="s">
        <v>790</v>
      </c>
      <c r="L40" t="s">
        <v>105</v>
      </c>
    </row>
    <row r="41" spans="1:12" x14ac:dyDescent="0.25">
      <c r="A41" t="s">
        <v>718</v>
      </c>
      <c r="B41" t="s">
        <v>719</v>
      </c>
      <c r="C41" t="s">
        <v>788</v>
      </c>
      <c r="D41" t="s">
        <v>814</v>
      </c>
      <c r="E41" t="s">
        <v>776</v>
      </c>
      <c r="F41" t="s">
        <v>734</v>
      </c>
      <c r="G41" t="s">
        <v>723</v>
      </c>
      <c r="H41" t="s">
        <v>790</v>
      </c>
      <c r="I41" t="s">
        <v>815</v>
      </c>
      <c r="J41" t="s">
        <v>790</v>
      </c>
      <c r="L41" t="s">
        <v>105</v>
      </c>
    </row>
    <row r="42" spans="1:12" x14ac:dyDescent="0.25">
      <c r="A42" t="s">
        <v>718</v>
      </c>
      <c r="B42" t="s">
        <v>719</v>
      </c>
      <c r="C42" t="s">
        <v>788</v>
      </c>
      <c r="D42" t="s">
        <v>816</v>
      </c>
      <c r="E42" t="s">
        <v>751</v>
      </c>
      <c r="F42" t="s">
        <v>734</v>
      </c>
      <c r="G42" t="s">
        <v>723</v>
      </c>
      <c r="H42" t="s">
        <v>790</v>
      </c>
      <c r="I42" t="s">
        <v>817</v>
      </c>
      <c r="J42" t="s">
        <v>790</v>
      </c>
      <c r="L42" t="s">
        <v>105</v>
      </c>
    </row>
    <row r="43" spans="1:12" x14ac:dyDescent="0.25">
      <c r="A43" t="s">
        <v>718</v>
      </c>
      <c r="B43" t="s">
        <v>719</v>
      </c>
      <c r="C43" t="s">
        <v>788</v>
      </c>
      <c r="D43" t="s">
        <v>818</v>
      </c>
      <c r="E43" t="s">
        <v>819</v>
      </c>
      <c r="F43" t="s">
        <v>734</v>
      </c>
      <c r="G43" t="s">
        <v>723</v>
      </c>
      <c r="H43" t="s">
        <v>790</v>
      </c>
      <c r="I43" t="s">
        <v>820</v>
      </c>
      <c r="J43" t="s">
        <v>790</v>
      </c>
      <c r="L43" t="s">
        <v>105</v>
      </c>
    </row>
    <row r="44" spans="1:12" x14ac:dyDescent="0.25">
      <c r="A44" t="s">
        <v>718</v>
      </c>
      <c r="B44" t="s">
        <v>719</v>
      </c>
      <c r="C44" t="s">
        <v>788</v>
      </c>
      <c r="D44" t="s">
        <v>821</v>
      </c>
      <c r="E44" t="s">
        <v>90</v>
      </c>
      <c r="F44" t="s">
        <v>722</v>
      </c>
      <c r="G44" t="s">
        <v>723</v>
      </c>
      <c r="H44" t="s">
        <v>790</v>
      </c>
      <c r="I44" t="s">
        <v>822</v>
      </c>
      <c r="J44" t="s">
        <v>790</v>
      </c>
      <c r="L44" t="s">
        <v>105</v>
      </c>
    </row>
    <row r="45" spans="1:12" x14ac:dyDescent="0.25">
      <c r="A45" t="s">
        <v>718</v>
      </c>
      <c r="B45" t="s">
        <v>719</v>
      </c>
      <c r="C45" t="s">
        <v>788</v>
      </c>
      <c r="D45" t="s">
        <v>823</v>
      </c>
      <c r="E45" t="s">
        <v>457</v>
      </c>
      <c r="F45" t="s">
        <v>734</v>
      </c>
      <c r="G45" t="s">
        <v>723</v>
      </c>
      <c r="H45" t="s">
        <v>790</v>
      </c>
      <c r="I45" t="s">
        <v>824</v>
      </c>
      <c r="J45" t="s">
        <v>790</v>
      </c>
      <c r="L45" t="s">
        <v>105</v>
      </c>
    </row>
    <row r="46" spans="1:12" x14ac:dyDescent="0.25">
      <c r="A46" t="s">
        <v>718</v>
      </c>
      <c r="B46" t="s">
        <v>719</v>
      </c>
      <c r="C46" t="s">
        <v>788</v>
      </c>
      <c r="D46" t="s">
        <v>825</v>
      </c>
      <c r="E46" t="s">
        <v>730</v>
      </c>
      <c r="F46" t="s">
        <v>722</v>
      </c>
      <c r="G46" t="s">
        <v>723</v>
      </c>
      <c r="H46" t="s">
        <v>790</v>
      </c>
      <c r="I46" t="s">
        <v>731</v>
      </c>
      <c r="J46" t="s">
        <v>790</v>
      </c>
      <c r="L46" t="s">
        <v>105</v>
      </c>
    </row>
    <row r="47" spans="1:12" x14ac:dyDescent="0.25">
      <c r="A47" t="s">
        <v>718</v>
      </c>
      <c r="B47" t="s">
        <v>719</v>
      </c>
      <c r="C47" t="s">
        <v>788</v>
      </c>
      <c r="D47" t="s">
        <v>826</v>
      </c>
      <c r="E47" t="s">
        <v>776</v>
      </c>
      <c r="F47" t="s">
        <v>722</v>
      </c>
      <c r="G47" t="s">
        <v>723</v>
      </c>
      <c r="H47" t="s">
        <v>790</v>
      </c>
      <c r="I47" t="s">
        <v>827</v>
      </c>
      <c r="J47" t="s">
        <v>790</v>
      </c>
      <c r="L47" t="s">
        <v>105</v>
      </c>
    </row>
    <row r="48" spans="1:12" x14ac:dyDescent="0.25">
      <c r="A48" t="s">
        <v>718</v>
      </c>
      <c r="B48" t="s">
        <v>719</v>
      </c>
      <c r="C48" t="s">
        <v>788</v>
      </c>
      <c r="D48" t="s">
        <v>828</v>
      </c>
      <c r="E48" t="s">
        <v>733</v>
      </c>
      <c r="F48" t="s">
        <v>734</v>
      </c>
      <c r="G48" t="s">
        <v>723</v>
      </c>
      <c r="H48" t="s">
        <v>790</v>
      </c>
      <c r="I48" t="s">
        <v>735</v>
      </c>
      <c r="J48" t="s">
        <v>790</v>
      </c>
      <c r="L48" t="s">
        <v>105</v>
      </c>
    </row>
    <row r="49" spans="1:12" x14ac:dyDescent="0.25">
      <c r="A49" t="s">
        <v>718</v>
      </c>
      <c r="B49" t="s">
        <v>719</v>
      </c>
      <c r="C49" t="s">
        <v>788</v>
      </c>
      <c r="D49" t="s">
        <v>829</v>
      </c>
      <c r="E49" t="s">
        <v>429</v>
      </c>
      <c r="F49" t="s">
        <v>722</v>
      </c>
      <c r="G49" t="s">
        <v>723</v>
      </c>
      <c r="H49" t="s">
        <v>790</v>
      </c>
      <c r="I49" t="s">
        <v>830</v>
      </c>
      <c r="J49" t="s">
        <v>790</v>
      </c>
      <c r="L49" t="s">
        <v>105</v>
      </c>
    </row>
    <row r="50" spans="1:12" x14ac:dyDescent="0.25">
      <c r="A50" t="s">
        <v>718</v>
      </c>
      <c r="B50" t="s">
        <v>719</v>
      </c>
      <c r="C50" t="s">
        <v>788</v>
      </c>
      <c r="D50" t="s">
        <v>831</v>
      </c>
      <c r="E50" t="s">
        <v>739</v>
      </c>
      <c r="F50" t="s">
        <v>734</v>
      </c>
      <c r="G50" t="s">
        <v>723</v>
      </c>
      <c r="H50" t="s">
        <v>790</v>
      </c>
      <c r="I50" t="s">
        <v>740</v>
      </c>
      <c r="J50" t="s">
        <v>790</v>
      </c>
      <c r="L50" t="s">
        <v>105</v>
      </c>
    </row>
    <row r="51" spans="1:12" x14ac:dyDescent="0.25">
      <c r="A51" t="s">
        <v>718</v>
      </c>
      <c r="B51" t="s">
        <v>719</v>
      </c>
      <c r="C51" t="s">
        <v>788</v>
      </c>
      <c r="D51" t="s">
        <v>832</v>
      </c>
      <c r="E51" t="s">
        <v>451</v>
      </c>
      <c r="F51" t="s">
        <v>734</v>
      </c>
      <c r="G51" t="s">
        <v>723</v>
      </c>
      <c r="H51" t="s">
        <v>790</v>
      </c>
      <c r="I51" t="s">
        <v>742</v>
      </c>
      <c r="J51" t="s">
        <v>790</v>
      </c>
      <c r="L51" t="s">
        <v>105</v>
      </c>
    </row>
    <row r="52" spans="1:12" x14ac:dyDescent="0.25">
      <c r="A52" t="s">
        <v>718</v>
      </c>
      <c r="B52" t="s">
        <v>719</v>
      </c>
      <c r="C52" t="s">
        <v>788</v>
      </c>
      <c r="D52" t="s">
        <v>833</v>
      </c>
      <c r="E52" t="s">
        <v>90</v>
      </c>
      <c r="F52" t="s">
        <v>734</v>
      </c>
      <c r="G52" t="s">
        <v>723</v>
      </c>
      <c r="H52" t="s">
        <v>790</v>
      </c>
      <c r="I52" t="s">
        <v>834</v>
      </c>
      <c r="J52" t="s">
        <v>790</v>
      </c>
      <c r="L52" t="s">
        <v>105</v>
      </c>
    </row>
    <row r="53" spans="1:12" x14ac:dyDescent="0.25">
      <c r="A53" t="s">
        <v>718</v>
      </c>
      <c r="B53" t="s">
        <v>719</v>
      </c>
      <c r="C53" t="s">
        <v>788</v>
      </c>
      <c r="D53" t="s">
        <v>835</v>
      </c>
      <c r="E53" t="s">
        <v>751</v>
      </c>
      <c r="F53" t="s">
        <v>734</v>
      </c>
      <c r="G53" t="s">
        <v>723</v>
      </c>
      <c r="H53" t="s">
        <v>790</v>
      </c>
      <c r="I53" t="s">
        <v>836</v>
      </c>
      <c r="J53" t="s">
        <v>790</v>
      </c>
      <c r="L53" t="s">
        <v>105</v>
      </c>
    </row>
    <row r="54" spans="1:12" x14ac:dyDescent="0.25">
      <c r="A54" t="s">
        <v>718</v>
      </c>
      <c r="B54" t="s">
        <v>719</v>
      </c>
      <c r="C54" t="s">
        <v>788</v>
      </c>
      <c r="D54" t="s">
        <v>837</v>
      </c>
      <c r="E54" t="s">
        <v>457</v>
      </c>
      <c r="F54" t="s">
        <v>734</v>
      </c>
      <c r="G54" t="s">
        <v>723</v>
      </c>
      <c r="H54" t="s">
        <v>790</v>
      </c>
      <c r="I54" t="s">
        <v>838</v>
      </c>
      <c r="J54" t="s">
        <v>790</v>
      </c>
      <c r="L54" t="s">
        <v>105</v>
      </c>
    </row>
    <row r="55" spans="1:12" x14ac:dyDescent="0.25">
      <c r="A55" t="s">
        <v>718</v>
      </c>
      <c r="B55" t="s">
        <v>719</v>
      </c>
      <c r="C55" t="s">
        <v>788</v>
      </c>
      <c r="D55" t="s">
        <v>839</v>
      </c>
      <c r="E55" t="s">
        <v>751</v>
      </c>
      <c r="F55" t="s">
        <v>734</v>
      </c>
      <c r="G55" t="s">
        <v>723</v>
      </c>
      <c r="H55" t="s">
        <v>790</v>
      </c>
      <c r="I55" t="s">
        <v>840</v>
      </c>
      <c r="J55" t="s">
        <v>790</v>
      </c>
      <c r="L55" t="s">
        <v>105</v>
      </c>
    </row>
    <row r="56" spans="1:12" x14ac:dyDescent="0.25">
      <c r="A56" t="s">
        <v>718</v>
      </c>
      <c r="B56" t="s">
        <v>719</v>
      </c>
      <c r="C56" t="s">
        <v>788</v>
      </c>
      <c r="D56" t="s">
        <v>841</v>
      </c>
      <c r="E56" t="s">
        <v>746</v>
      </c>
      <c r="F56" t="s">
        <v>734</v>
      </c>
      <c r="G56" t="s">
        <v>723</v>
      </c>
      <c r="H56" t="s">
        <v>790</v>
      </c>
      <c r="I56" t="s">
        <v>747</v>
      </c>
      <c r="J56" t="s">
        <v>790</v>
      </c>
      <c r="L56" t="s">
        <v>105</v>
      </c>
    </row>
    <row r="57" spans="1:12" x14ac:dyDescent="0.25">
      <c r="A57" t="s">
        <v>718</v>
      </c>
      <c r="B57" t="s">
        <v>719</v>
      </c>
      <c r="C57" t="s">
        <v>788</v>
      </c>
      <c r="D57" t="s">
        <v>842</v>
      </c>
      <c r="E57" t="s">
        <v>368</v>
      </c>
      <c r="F57" t="s">
        <v>734</v>
      </c>
      <c r="G57" t="s">
        <v>723</v>
      </c>
      <c r="H57" t="s">
        <v>790</v>
      </c>
      <c r="I57" t="s">
        <v>843</v>
      </c>
      <c r="J57" t="s">
        <v>790</v>
      </c>
      <c r="L57" t="s">
        <v>105</v>
      </c>
    </row>
    <row r="58" spans="1:12" x14ac:dyDescent="0.25">
      <c r="A58" t="s">
        <v>718</v>
      </c>
      <c r="B58" t="s">
        <v>719</v>
      </c>
      <c r="C58" t="s">
        <v>788</v>
      </c>
      <c r="D58" t="s">
        <v>844</v>
      </c>
      <c r="E58" t="s">
        <v>751</v>
      </c>
      <c r="F58" t="s">
        <v>734</v>
      </c>
      <c r="G58" t="s">
        <v>723</v>
      </c>
      <c r="H58" t="s">
        <v>790</v>
      </c>
      <c r="I58" t="s">
        <v>845</v>
      </c>
      <c r="J58" t="s">
        <v>790</v>
      </c>
      <c r="L58" t="s">
        <v>105</v>
      </c>
    </row>
    <row r="59" spans="1:12" x14ac:dyDescent="0.25">
      <c r="A59" t="s">
        <v>718</v>
      </c>
      <c r="B59" t="s">
        <v>719</v>
      </c>
      <c r="C59" t="s">
        <v>788</v>
      </c>
      <c r="D59" t="s">
        <v>846</v>
      </c>
      <c r="E59" t="s">
        <v>730</v>
      </c>
      <c r="F59" t="s">
        <v>722</v>
      </c>
      <c r="G59" t="s">
        <v>723</v>
      </c>
      <c r="H59" t="s">
        <v>790</v>
      </c>
      <c r="I59" t="s">
        <v>749</v>
      </c>
      <c r="J59" t="s">
        <v>790</v>
      </c>
      <c r="L59" t="s">
        <v>105</v>
      </c>
    </row>
    <row r="60" spans="1:12" x14ac:dyDescent="0.25">
      <c r="A60" t="s">
        <v>718</v>
      </c>
      <c r="B60" t="s">
        <v>719</v>
      </c>
      <c r="C60" t="s">
        <v>788</v>
      </c>
      <c r="D60" t="s">
        <v>847</v>
      </c>
      <c r="E60" t="s">
        <v>462</v>
      </c>
      <c r="F60" t="s">
        <v>722</v>
      </c>
      <c r="G60" t="s">
        <v>723</v>
      </c>
      <c r="H60" t="s">
        <v>790</v>
      </c>
      <c r="I60" t="s">
        <v>848</v>
      </c>
      <c r="J60" t="s">
        <v>790</v>
      </c>
      <c r="L60" t="s">
        <v>105</v>
      </c>
    </row>
    <row r="61" spans="1:12" x14ac:dyDescent="0.25">
      <c r="A61" t="s">
        <v>718</v>
      </c>
      <c r="B61" t="s">
        <v>719</v>
      </c>
      <c r="C61" t="s">
        <v>788</v>
      </c>
      <c r="D61" t="s">
        <v>849</v>
      </c>
      <c r="E61" t="s">
        <v>850</v>
      </c>
      <c r="F61" t="s">
        <v>734</v>
      </c>
      <c r="G61" t="s">
        <v>723</v>
      </c>
      <c r="H61" t="s">
        <v>790</v>
      </c>
      <c r="I61" t="s">
        <v>851</v>
      </c>
      <c r="J61" t="s">
        <v>790</v>
      </c>
      <c r="L61" t="s">
        <v>105</v>
      </c>
    </row>
    <row r="62" spans="1:12" x14ac:dyDescent="0.25">
      <c r="A62" t="s">
        <v>718</v>
      </c>
      <c r="B62" t="s">
        <v>719</v>
      </c>
      <c r="C62" t="s">
        <v>788</v>
      </c>
      <c r="D62" t="s">
        <v>852</v>
      </c>
      <c r="E62" t="s">
        <v>730</v>
      </c>
      <c r="F62" t="s">
        <v>722</v>
      </c>
      <c r="H62" t="s">
        <v>790</v>
      </c>
      <c r="I62" t="s">
        <v>762</v>
      </c>
      <c r="J62" t="s">
        <v>790</v>
      </c>
      <c r="L62" t="s">
        <v>105</v>
      </c>
    </row>
    <row r="63" spans="1:12" x14ac:dyDescent="0.25">
      <c r="A63" t="s">
        <v>718</v>
      </c>
      <c r="B63" t="s">
        <v>719</v>
      </c>
      <c r="C63" t="s">
        <v>788</v>
      </c>
      <c r="D63" t="s">
        <v>853</v>
      </c>
      <c r="E63" t="s">
        <v>733</v>
      </c>
      <c r="F63" t="s">
        <v>734</v>
      </c>
      <c r="H63" t="s">
        <v>790</v>
      </c>
      <c r="I63" t="s">
        <v>764</v>
      </c>
      <c r="J63" t="s">
        <v>790</v>
      </c>
      <c r="L63" t="s">
        <v>105</v>
      </c>
    </row>
    <row r="64" spans="1:12" x14ac:dyDescent="0.25">
      <c r="A64" t="s">
        <v>718</v>
      </c>
      <c r="B64" t="s">
        <v>719</v>
      </c>
      <c r="C64" t="s">
        <v>788</v>
      </c>
      <c r="D64" t="s">
        <v>854</v>
      </c>
      <c r="E64" t="s">
        <v>730</v>
      </c>
      <c r="F64" t="s">
        <v>722</v>
      </c>
      <c r="H64" t="s">
        <v>790</v>
      </c>
      <c r="I64" t="s">
        <v>768</v>
      </c>
      <c r="J64" t="s">
        <v>790</v>
      </c>
      <c r="L64" t="s">
        <v>105</v>
      </c>
    </row>
    <row r="65" spans="1:12" x14ac:dyDescent="0.25">
      <c r="A65" t="s">
        <v>718</v>
      </c>
      <c r="B65" t="s">
        <v>719</v>
      </c>
      <c r="C65" t="s">
        <v>788</v>
      </c>
      <c r="D65" t="s">
        <v>855</v>
      </c>
      <c r="E65" t="s">
        <v>451</v>
      </c>
      <c r="F65" t="s">
        <v>804</v>
      </c>
      <c r="G65" t="s">
        <v>723</v>
      </c>
      <c r="H65" t="s">
        <v>790</v>
      </c>
      <c r="I65" t="s">
        <v>856</v>
      </c>
      <c r="J65" t="s">
        <v>790</v>
      </c>
      <c r="L65" t="s">
        <v>105</v>
      </c>
    </row>
    <row r="66" spans="1:12" x14ac:dyDescent="0.25">
      <c r="A66" t="s">
        <v>718</v>
      </c>
      <c r="B66" t="s">
        <v>719</v>
      </c>
      <c r="C66" t="s">
        <v>788</v>
      </c>
      <c r="D66" t="s">
        <v>857</v>
      </c>
      <c r="E66" t="s">
        <v>751</v>
      </c>
      <c r="F66" t="s">
        <v>804</v>
      </c>
      <c r="G66" t="s">
        <v>723</v>
      </c>
      <c r="H66" t="s">
        <v>790</v>
      </c>
      <c r="I66" t="s">
        <v>858</v>
      </c>
      <c r="J66" t="s">
        <v>790</v>
      </c>
      <c r="L66" t="s">
        <v>105</v>
      </c>
    </row>
    <row r="67" spans="1:12" x14ac:dyDescent="0.25">
      <c r="A67" t="s">
        <v>718</v>
      </c>
      <c r="B67" t="s">
        <v>719</v>
      </c>
      <c r="C67" t="s">
        <v>788</v>
      </c>
      <c r="D67" t="s">
        <v>859</v>
      </c>
      <c r="E67" t="s">
        <v>754</v>
      </c>
      <c r="F67" t="s">
        <v>722</v>
      </c>
      <c r="G67" t="s">
        <v>723</v>
      </c>
      <c r="H67" t="s">
        <v>790</v>
      </c>
      <c r="I67" t="s">
        <v>860</v>
      </c>
      <c r="J67" t="s">
        <v>790</v>
      </c>
      <c r="L67" t="s">
        <v>105</v>
      </c>
    </row>
    <row r="68" spans="1:12" x14ac:dyDescent="0.25">
      <c r="A68" t="s">
        <v>718</v>
      </c>
      <c r="B68" t="s">
        <v>719</v>
      </c>
      <c r="C68" t="s">
        <v>788</v>
      </c>
      <c r="D68" t="s">
        <v>861</v>
      </c>
      <c r="E68" t="s">
        <v>90</v>
      </c>
      <c r="F68" t="s">
        <v>734</v>
      </c>
      <c r="G68" t="s">
        <v>723</v>
      </c>
      <c r="H68" t="s">
        <v>790</v>
      </c>
      <c r="I68" t="s">
        <v>862</v>
      </c>
      <c r="J68" t="s">
        <v>790</v>
      </c>
      <c r="L68" t="s">
        <v>105</v>
      </c>
    </row>
    <row r="69" spans="1:12" x14ac:dyDescent="0.25">
      <c r="A69" t="s">
        <v>718</v>
      </c>
      <c r="B69" t="s">
        <v>719</v>
      </c>
      <c r="C69" t="s">
        <v>788</v>
      </c>
      <c r="D69" t="s">
        <v>863</v>
      </c>
      <c r="E69" t="s">
        <v>90</v>
      </c>
      <c r="F69" t="s">
        <v>734</v>
      </c>
      <c r="G69" t="s">
        <v>723</v>
      </c>
      <c r="H69" t="s">
        <v>790</v>
      </c>
      <c r="I69" t="s">
        <v>864</v>
      </c>
      <c r="J69" t="s">
        <v>790</v>
      </c>
      <c r="L69" t="s">
        <v>105</v>
      </c>
    </row>
    <row r="70" spans="1:12" x14ac:dyDescent="0.25">
      <c r="A70" t="s">
        <v>718</v>
      </c>
      <c r="B70" t="s">
        <v>719</v>
      </c>
      <c r="C70" t="s">
        <v>788</v>
      </c>
      <c r="D70" t="s">
        <v>865</v>
      </c>
      <c r="E70" t="s">
        <v>751</v>
      </c>
      <c r="F70" t="s">
        <v>734</v>
      </c>
      <c r="G70" t="s">
        <v>723</v>
      </c>
      <c r="H70" t="s">
        <v>790</v>
      </c>
      <c r="I70" t="s">
        <v>866</v>
      </c>
      <c r="J70" t="s">
        <v>790</v>
      </c>
      <c r="L70" t="s">
        <v>105</v>
      </c>
    </row>
    <row r="71" spans="1:12" x14ac:dyDescent="0.25">
      <c r="A71" t="s">
        <v>718</v>
      </c>
      <c r="B71" t="s">
        <v>719</v>
      </c>
      <c r="C71" t="s">
        <v>788</v>
      </c>
      <c r="D71" t="s">
        <v>867</v>
      </c>
      <c r="E71" t="s">
        <v>462</v>
      </c>
      <c r="F71" t="s">
        <v>722</v>
      </c>
      <c r="G71" t="s">
        <v>723</v>
      </c>
      <c r="H71" t="s">
        <v>790</v>
      </c>
      <c r="I71" t="s">
        <v>868</v>
      </c>
      <c r="J71" t="s">
        <v>790</v>
      </c>
      <c r="L71" t="s">
        <v>105</v>
      </c>
    </row>
    <row r="72" spans="1:12" x14ac:dyDescent="0.25">
      <c r="A72" t="s">
        <v>718</v>
      </c>
      <c r="B72" t="s">
        <v>719</v>
      </c>
      <c r="C72" t="s">
        <v>788</v>
      </c>
      <c r="D72" t="s">
        <v>869</v>
      </c>
      <c r="E72" t="s">
        <v>730</v>
      </c>
      <c r="F72" t="s">
        <v>722</v>
      </c>
      <c r="H72" t="s">
        <v>790</v>
      </c>
      <c r="I72" t="s">
        <v>762</v>
      </c>
      <c r="J72" t="s">
        <v>790</v>
      </c>
      <c r="L72" t="s">
        <v>105</v>
      </c>
    </row>
    <row r="73" spans="1:12" x14ac:dyDescent="0.25">
      <c r="A73" t="s">
        <v>718</v>
      </c>
      <c r="B73" t="s">
        <v>719</v>
      </c>
      <c r="C73" t="s">
        <v>788</v>
      </c>
      <c r="D73" t="s">
        <v>870</v>
      </c>
      <c r="E73" t="s">
        <v>733</v>
      </c>
      <c r="F73" t="s">
        <v>734</v>
      </c>
      <c r="H73" t="s">
        <v>790</v>
      </c>
      <c r="I73" t="s">
        <v>764</v>
      </c>
      <c r="J73" t="s">
        <v>790</v>
      </c>
      <c r="L73" t="s">
        <v>105</v>
      </c>
    </row>
    <row r="74" spans="1:12" x14ac:dyDescent="0.25">
      <c r="A74" t="s">
        <v>718</v>
      </c>
      <c r="B74" t="s">
        <v>719</v>
      </c>
      <c r="C74" t="s">
        <v>788</v>
      </c>
      <c r="D74" t="s">
        <v>871</v>
      </c>
      <c r="E74" t="s">
        <v>730</v>
      </c>
      <c r="F74" t="s">
        <v>722</v>
      </c>
      <c r="H74" t="s">
        <v>790</v>
      </c>
      <c r="I74" t="s">
        <v>768</v>
      </c>
      <c r="J74" t="s">
        <v>790</v>
      </c>
      <c r="L74" t="s">
        <v>105</v>
      </c>
    </row>
    <row r="75" spans="1:12" x14ac:dyDescent="0.25">
      <c r="A75" t="s">
        <v>718</v>
      </c>
      <c r="B75" t="s">
        <v>719</v>
      </c>
      <c r="C75" t="s">
        <v>788</v>
      </c>
      <c r="D75" t="s">
        <v>872</v>
      </c>
      <c r="E75" t="s">
        <v>368</v>
      </c>
      <c r="F75" t="s">
        <v>804</v>
      </c>
      <c r="G75" t="s">
        <v>723</v>
      </c>
      <c r="H75" t="s">
        <v>790</v>
      </c>
      <c r="I75" t="s">
        <v>873</v>
      </c>
      <c r="J75" t="s">
        <v>790</v>
      </c>
      <c r="L75" t="s">
        <v>105</v>
      </c>
    </row>
    <row r="76" spans="1:12" x14ac:dyDescent="0.25">
      <c r="A76" t="s">
        <v>718</v>
      </c>
      <c r="B76" t="s">
        <v>719</v>
      </c>
      <c r="C76" t="s">
        <v>788</v>
      </c>
      <c r="D76" t="s">
        <v>874</v>
      </c>
      <c r="E76" t="s">
        <v>875</v>
      </c>
      <c r="F76" t="s">
        <v>804</v>
      </c>
      <c r="G76" t="s">
        <v>723</v>
      </c>
      <c r="H76" t="s">
        <v>790</v>
      </c>
      <c r="I76" t="s">
        <v>876</v>
      </c>
      <c r="J76" t="s">
        <v>790</v>
      </c>
      <c r="L76" t="s">
        <v>105</v>
      </c>
    </row>
    <row r="77" spans="1:12" x14ac:dyDescent="0.25">
      <c r="A77" t="s">
        <v>718</v>
      </c>
      <c r="B77" t="s">
        <v>719</v>
      </c>
      <c r="C77" t="s">
        <v>788</v>
      </c>
      <c r="D77" t="s">
        <v>877</v>
      </c>
      <c r="E77" t="s">
        <v>368</v>
      </c>
      <c r="F77" t="s">
        <v>722</v>
      </c>
      <c r="G77" t="s">
        <v>723</v>
      </c>
      <c r="H77" t="s">
        <v>790</v>
      </c>
      <c r="I77" t="s">
        <v>878</v>
      </c>
      <c r="J77" t="s">
        <v>790</v>
      </c>
      <c r="L77" t="s">
        <v>105</v>
      </c>
    </row>
    <row r="78" spans="1:12" x14ac:dyDescent="0.25">
      <c r="A78" t="s">
        <v>718</v>
      </c>
      <c r="B78" t="s">
        <v>719</v>
      </c>
      <c r="C78" t="s">
        <v>788</v>
      </c>
      <c r="D78" t="s">
        <v>879</v>
      </c>
      <c r="E78" t="s">
        <v>751</v>
      </c>
      <c r="F78" t="s">
        <v>734</v>
      </c>
      <c r="G78" t="s">
        <v>723</v>
      </c>
      <c r="H78" t="s">
        <v>790</v>
      </c>
      <c r="I78" t="s">
        <v>880</v>
      </c>
      <c r="J78" t="s">
        <v>790</v>
      </c>
      <c r="L78" t="s">
        <v>105</v>
      </c>
    </row>
    <row r="79" spans="1:12" x14ac:dyDescent="0.25">
      <c r="A79" t="s">
        <v>718</v>
      </c>
      <c r="B79" t="s">
        <v>719</v>
      </c>
      <c r="C79" t="s">
        <v>788</v>
      </c>
      <c r="D79" t="s">
        <v>881</v>
      </c>
      <c r="E79" t="s">
        <v>451</v>
      </c>
      <c r="F79" t="s">
        <v>734</v>
      </c>
      <c r="G79" t="s">
        <v>723</v>
      </c>
      <c r="H79" t="s">
        <v>790</v>
      </c>
      <c r="I79" t="s">
        <v>882</v>
      </c>
      <c r="J79" t="s">
        <v>790</v>
      </c>
      <c r="L79" t="s">
        <v>105</v>
      </c>
    </row>
    <row r="80" spans="1:12" x14ac:dyDescent="0.25">
      <c r="A80" t="s">
        <v>718</v>
      </c>
      <c r="B80" t="s">
        <v>719</v>
      </c>
      <c r="C80" t="s">
        <v>788</v>
      </c>
      <c r="D80" t="s">
        <v>883</v>
      </c>
      <c r="E80" t="s">
        <v>786</v>
      </c>
      <c r="F80" t="s">
        <v>734</v>
      </c>
      <c r="G80" t="s">
        <v>723</v>
      </c>
      <c r="H80" t="s">
        <v>790</v>
      </c>
      <c r="I80" t="s">
        <v>787</v>
      </c>
      <c r="J80" t="s">
        <v>790</v>
      </c>
      <c r="L80" t="s">
        <v>105</v>
      </c>
    </row>
    <row r="81" spans="1:12" x14ac:dyDescent="0.25">
      <c r="A81" t="s">
        <v>718</v>
      </c>
      <c r="B81" t="s">
        <v>719</v>
      </c>
      <c r="C81" t="s">
        <v>788</v>
      </c>
      <c r="D81" t="s">
        <v>884</v>
      </c>
      <c r="E81" t="s">
        <v>368</v>
      </c>
      <c r="F81" t="s">
        <v>722</v>
      </c>
      <c r="G81" t="s">
        <v>723</v>
      </c>
      <c r="H81" t="s">
        <v>790</v>
      </c>
      <c r="I81" t="s">
        <v>885</v>
      </c>
      <c r="J81" t="s">
        <v>790</v>
      </c>
      <c r="L81" t="s">
        <v>105</v>
      </c>
    </row>
    <row r="82" spans="1:12" x14ac:dyDescent="0.25">
      <c r="A82" t="s">
        <v>718</v>
      </c>
      <c r="B82" t="s">
        <v>719</v>
      </c>
      <c r="C82" t="s">
        <v>788</v>
      </c>
      <c r="D82" t="s">
        <v>886</v>
      </c>
      <c r="E82" t="s">
        <v>462</v>
      </c>
      <c r="F82" t="s">
        <v>722</v>
      </c>
      <c r="G82" t="s">
        <v>723</v>
      </c>
      <c r="H82" t="s">
        <v>790</v>
      </c>
      <c r="I82" t="s">
        <v>887</v>
      </c>
      <c r="J82" t="s">
        <v>790</v>
      </c>
      <c r="L82" t="s">
        <v>105</v>
      </c>
    </row>
    <row r="83" spans="1:12" x14ac:dyDescent="0.25">
      <c r="A83" t="s">
        <v>718</v>
      </c>
      <c r="B83" t="s">
        <v>719</v>
      </c>
      <c r="C83" t="s">
        <v>788</v>
      </c>
      <c r="D83" t="s">
        <v>888</v>
      </c>
      <c r="E83" t="s">
        <v>889</v>
      </c>
      <c r="F83" t="s">
        <v>734</v>
      </c>
      <c r="G83" t="s">
        <v>723</v>
      </c>
      <c r="H83" t="s">
        <v>790</v>
      </c>
      <c r="I83" t="s">
        <v>890</v>
      </c>
      <c r="J83" t="s">
        <v>790</v>
      </c>
      <c r="L83" t="s">
        <v>105</v>
      </c>
    </row>
    <row r="84" spans="1:12" x14ac:dyDescent="0.25">
      <c r="A84" t="s">
        <v>718</v>
      </c>
      <c r="B84" t="s">
        <v>719</v>
      </c>
      <c r="C84" t="s">
        <v>788</v>
      </c>
      <c r="D84" t="s">
        <v>891</v>
      </c>
      <c r="E84" t="s">
        <v>751</v>
      </c>
      <c r="F84" t="s">
        <v>734</v>
      </c>
      <c r="G84" t="s">
        <v>723</v>
      </c>
      <c r="H84" t="s">
        <v>790</v>
      </c>
      <c r="I84" t="s">
        <v>892</v>
      </c>
      <c r="J84" t="s">
        <v>790</v>
      </c>
      <c r="L84" t="s">
        <v>105</v>
      </c>
    </row>
    <row r="85" spans="1:12" x14ac:dyDescent="0.25">
      <c r="A85" t="s">
        <v>718</v>
      </c>
      <c r="B85" t="s">
        <v>719</v>
      </c>
      <c r="C85" t="s">
        <v>788</v>
      </c>
      <c r="D85" t="s">
        <v>893</v>
      </c>
      <c r="E85" t="s">
        <v>751</v>
      </c>
      <c r="F85" t="s">
        <v>804</v>
      </c>
      <c r="G85" t="s">
        <v>723</v>
      </c>
      <c r="H85" t="s">
        <v>790</v>
      </c>
      <c r="I85" t="s">
        <v>894</v>
      </c>
      <c r="J85" t="s">
        <v>790</v>
      </c>
      <c r="L85" t="s">
        <v>105</v>
      </c>
    </row>
    <row r="86" spans="1:12" x14ac:dyDescent="0.25">
      <c r="A86" t="s">
        <v>718</v>
      </c>
      <c r="B86" t="s">
        <v>719</v>
      </c>
      <c r="C86" t="s">
        <v>788</v>
      </c>
      <c r="D86" t="s">
        <v>895</v>
      </c>
      <c r="E86" t="s">
        <v>451</v>
      </c>
      <c r="F86" t="s">
        <v>734</v>
      </c>
      <c r="G86" t="s">
        <v>723</v>
      </c>
      <c r="H86" t="s">
        <v>790</v>
      </c>
      <c r="I86" t="s">
        <v>896</v>
      </c>
      <c r="J86" t="s">
        <v>790</v>
      </c>
      <c r="L86" t="s">
        <v>105</v>
      </c>
    </row>
    <row r="87" spans="1:12" x14ac:dyDescent="0.25">
      <c r="A87" t="s">
        <v>718</v>
      </c>
      <c r="B87" t="s">
        <v>719</v>
      </c>
      <c r="C87" t="s">
        <v>788</v>
      </c>
      <c r="D87" t="s">
        <v>897</v>
      </c>
      <c r="E87" t="s">
        <v>730</v>
      </c>
      <c r="F87" t="s">
        <v>722</v>
      </c>
      <c r="H87" t="s">
        <v>790</v>
      </c>
      <c r="I87" t="s">
        <v>762</v>
      </c>
      <c r="J87" t="s">
        <v>790</v>
      </c>
      <c r="L87" t="s">
        <v>105</v>
      </c>
    </row>
    <row r="88" spans="1:12" x14ac:dyDescent="0.25">
      <c r="A88" t="s">
        <v>718</v>
      </c>
      <c r="B88" t="s">
        <v>719</v>
      </c>
      <c r="C88" t="s">
        <v>788</v>
      </c>
      <c r="D88" t="s">
        <v>898</v>
      </c>
      <c r="E88" t="s">
        <v>733</v>
      </c>
      <c r="F88" t="s">
        <v>734</v>
      </c>
      <c r="H88" t="s">
        <v>790</v>
      </c>
      <c r="I88" t="s">
        <v>764</v>
      </c>
      <c r="J88" t="s">
        <v>790</v>
      </c>
      <c r="L88" t="s">
        <v>105</v>
      </c>
    </row>
    <row r="89" spans="1:12" x14ac:dyDescent="0.25">
      <c r="A89" t="s">
        <v>718</v>
      </c>
      <c r="B89" t="s">
        <v>719</v>
      </c>
      <c r="C89" t="s">
        <v>788</v>
      </c>
      <c r="D89" t="s">
        <v>899</v>
      </c>
      <c r="E89" t="s">
        <v>739</v>
      </c>
      <c r="F89" t="s">
        <v>804</v>
      </c>
      <c r="G89" t="s">
        <v>723</v>
      </c>
      <c r="H89" t="s">
        <v>790</v>
      </c>
      <c r="I89" t="s">
        <v>900</v>
      </c>
      <c r="J89" t="s">
        <v>790</v>
      </c>
      <c r="L89" t="s">
        <v>105</v>
      </c>
    </row>
    <row r="90" spans="1:12" x14ac:dyDescent="0.25">
      <c r="A90" t="s">
        <v>718</v>
      </c>
      <c r="B90" t="s">
        <v>719</v>
      </c>
      <c r="C90" t="s">
        <v>788</v>
      </c>
      <c r="D90" t="s">
        <v>901</v>
      </c>
      <c r="E90" t="s">
        <v>739</v>
      </c>
      <c r="F90" t="s">
        <v>734</v>
      </c>
      <c r="G90" t="s">
        <v>723</v>
      </c>
      <c r="H90" t="s">
        <v>790</v>
      </c>
      <c r="I90" t="s">
        <v>902</v>
      </c>
      <c r="J90" t="s">
        <v>790</v>
      </c>
      <c r="L90" t="s">
        <v>105</v>
      </c>
    </row>
    <row r="91" spans="1:12" x14ac:dyDescent="0.25">
      <c r="A91" t="s">
        <v>718</v>
      </c>
      <c r="B91" t="s">
        <v>719</v>
      </c>
      <c r="C91" t="s">
        <v>788</v>
      </c>
      <c r="D91" t="s">
        <v>903</v>
      </c>
      <c r="E91" t="s">
        <v>730</v>
      </c>
      <c r="F91" t="s">
        <v>722</v>
      </c>
      <c r="H91" t="s">
        <v>790</v>
      </c>
      <c r="I91" t="s">
        <v>768</v>
      </c>
      <c r="J91" t="s">
        <v>790</v>
      </c>
      <c r="L91" t="s">
        <v>105</v>
      </c>
    </row>
    <row r="92" spans="1:12" x14ac:dyDescent="0.25">
      <c r="A92" t="s">
        <v>718</v>
      </c>
      <c r="B92" t="s">
        <v>719</v>
      </c>
      <c r="C92" t="s">
        <v>788</v>
      </c>
      <c r="D92" t="s">
        <v>904</v>
      </c>
      <c r="E92" t="s">
        <v>739</v>
      </c>
      <c r="F92" t="s">
        <v>734</v>
      </c>
      <c r="G92" t="s">
        <v>723</v>
      </c>
      <c r="H92" t="s">
        <v>790</v>
      </c>
      <c r="I92" t="s">
        <v>905</v>
      </c>
      <c r="J92" t="s">
        <v>790</v>
      </c>
      <c r="L92" t="s">
        <v>105</v>
      </c>
    </row>
    <row r="93" spans="1:12" x14ac:dyDescent="0.25">
      <c r="A93" t="s">
        <v>718</v>
      </c>
      <c r="B93" t="s">
        <v>719</v>
      </c>
      <c r="C93" t="s">
        <v>788</v>
      </c>
      <c r="D93" t="s">
        <v>906</v>
      </c>
      <c r="E93" t="s">
        <v>462</v>
      </c>
      <c r="F93" t="s">
        <v>722</v>
      </c>
      <c r="G93" t="s">
        <v>723</v>
      </c>
      <c r="H93" t="s">
        <v>790</v>
      </c>
      <c r="I93" t="s">
        <v>907</v>
      </c>
      <c r="J93" t="s">
        <v>790</v>
      </c>
      <c r="L93" t="s">
        <v>105</v>
      </c>
    </row>
    <row r="94" spans="1:12" x14ac:dyDescent="0.25">
      <c r="A94" t="s">
        <v>718</v>
      </c>
      <c r="B94" t="s">
        <v>719</v>
      </c>
      <c r="C94" t="s">
        <v>788</v>
      </c>
      <c r="D94" t="s">
        <v>908</v>
      </c>
      <c r="E94" t="s">
        <v>429</v>
      </c>
      <c r="F94" t="s">
        <v>734</v>
      </c>
      <c r="G94" t="s">
        <v>723</v>
      </c>
      <c r="H94" t="s">
        <v>790</v>
      </c>
      <c r="I94" t="s">
        <v>909</v>
      </c>
      <c r="J94" t="s">
        <v>790</v>
      </c>
      <c r="L94" t="s">
        <v>105</v>
      </c>
    </row>
    <row r="95" spans="1:12" x14ac:dyDescent="0.25">
      <c r="A95" t="s">
        <v>718</v>
      </c>
      <c r="B95" t="s">
        <v>719</v>
      </c>
      <c r="C95" t="s">
        <v>788</v>
      </c>
      <c r="D95" t="s">
        <v>910</v>
      </c>
      <c r="E95" t="s">
        <v>730</v>
      </c>
      <c r="F95" t="s">
        <v>722</v>
      </c>
      <c r="H95" t="s">
        <v>790</v>
      </c>
      <c r="I95" t="s">
        <v>762</v>
      </c>
      <c r="J95" t="s">
        <v>790</v>
      </c>
      <c r="L95" t="s">
        <v>105</v>
      </c>
    </row>
    <row r="96" spans="1:12" x14ac:dyDescent="0.25">
      <c r="A96" t="s">
        <v>718</v>
      </c>
      <c r="B96" t="s">
        <v>719</v>
      </c>
      <c r="C96" t="s">
        <v>788</v>
      </c>
      <c r="D96" t="s">
        <v>911</v>
      </c>
      <c r="E96" t="s">
        <v>733</v>
      </c>
      <c r="F96" t="s">
        <v>734</v>
      </c>
      <c r="H96" t="s">
        <v>790</v>
      </c>
      <c r="I96" t="s">
        <v>764</v>
      </c>
      <c r="J96" t="s">
        <v>790</v>
      </c>
      <c r="L96" t="s">
        <v>105</v>
      </c>
    </row>
    <row r="97" spans="1:12" x14ac:dyDescent="0.25">
      <c r="A97" t="s">
        <v>718</v>
      </c>
      <c r="B97" t="s">
        <v>719</v>
      </c>
      <c r="C97" t="s">
        <v>788</v>
      </c>
      <c r="D97" t="s">
        <v>912</v>
      </c>
      <c r="E97" t="s">
        <v>457</v>
      </c>
      <c r="F97" t="s">
        <v>734</v>
      </c>
      <c r="G97" t="s">
        <v>723</v>
      </c>
      <c r="H97" t="s">
        <v>790</v>
      </c>
      <c r="I97" t="s">
        <v>913</v>
      </c>
      <c r="J97" t="s">
        <v>790</v>
      </c>
      <c r="L97" t="s">
        <v>105</v>
      </c>
    </row>
    <row r="98" spans="1:12" x14ac:dyDescent="0.25">
      <c r="A98" t="s">
        <v>718</v>
      </c>
      <c r="B98" t="s">
        <v>719</v>
      </c>
      <c r="C98" t="s">
        <v>788</v>
      </c>
      <c r="D98" t="s">
        <v>914</v>
      </c>
      <c r="E98" t="s">
        <v>730</v>
      </c>
      <c r="F98" t="s">
        <v>722</v>
      </c>
      <c r="H98" t="s">
        <v>790</v>
      </c>
      <c r="I98" t="s">
        <v>768</v>
      </c>
      <c r="J98" t="s">
        <v>790</v>
      </c>
      <c r="L98" t="s">
        <v>105</v>
      </c>
    </row>
    <row r="99" spans="1:12" x14ac:dyDescent="0.25">
      <c r="A99" t="s">
        <v>718</v>
      </c>
      <c r="B99" t="s">
        <v>719</v>
      </c>
      <c r="C99" t="s">
        <v>788</v>
      </c>
      <c r="D99" t="s">
        <v>915</v>
      </c>
      <c r="E99" t="s">
        <v>368</v>
      </c>
      <c r="F99" t="s">
        <v>734</v>
      </c>
      <c r="G99" t="s">
        <v>723</v>
      </c>
      <c r="H99" t="s">
        <v>790</v>
      </c>
      <c r="I99" t="s">
        <v>916</v>
      </c>
      <c r="J99" t="s">
        <v>790</v>
      </c>
      <c r="L99" t="s">
        <v>105</v>
      </c>
    </row>
    <row r="100" spans="1:12" x14ac:dyDescent="0.25">
      <c r="A100" t="s">
        <v>718</v>
      </c>
      <c r="B100" t="s">
        <v>719</v>
      </c>
      <c r="C100" t="s">
        <v>788</v>
      </c>
      <c r="D100" t="s">
        <v>917</v>
      </c>
      <c r="E100" t="s">
        <v>751</v>
      </c>
      <c r="F100" t="s">
        <v>804</v>
      </c>
      <c r="G100" t="s">
        <v>723</v>
      </c>
      <c r="H100" t="s">
        <v>790</v>
      </c>
      <c r="I100" t="s">
        <v>918</v>
      </c>
      <c r="J100" t="s">
        <v>790</v>
      </c>
      <c r="L100" t="s">
        <v>105</v>
      </c>
    </row>
    <row r="101" spans="1:12" x14ac:dyDescent="0.25">
      <c r="A101" t="s">
        <v>718</v>
      </c>
      <c r="B101" t="s">
        <v>719</v>
      </c>
      <c r="C101" t="s">
        <v>919</v>
      </c>
      <c r="D101" t="s">
        <v>920</v>
      </c>
      <c r="E101" t="s">
        <v>850</v>
      </c>
      <c r="F101" t="s">
        <v>734</v>
      </c>
      <c r="G101" t="s">
        <v>723</v>
      </c>
      <c r="H101" t="s">
        <v>921</v>
      </c>
      <c r="I101" t="s">
        <v>922</v>
      </c>
      <c r="J101" t="s">
        <v>921</v>
      </c>
      <c r="L101" t="s">
        <v>105</v>
      </c>
    </row>
    <row r="102" spans="1:12" x14ac:dyDescent="0.25">
      <c r="A102" t="s">
        <v>718</v>
      </c>
      <c r="B102" t="s">
        <v>719</v>
      </c>
      <c r="C102" t="s">
        <v>919</v>
      </c>
      <c r="D102" t="s">
        <v>923</v>
      </c>
      <c r="E102" t="s">
        <v>850</v>
      </c>
      <c r="F102" t="s">
        <v>734</v>
      </c>
      <c r="G102" t="s">
        <v>723</v>
      </c>
      <c r="H102" t="s">
        <v>921</v>
      </c>
      <c r="I102" t="s">
        <v>924</v>
      </c>
      <c r="J102" t="s">
        <v>921</v>
      </c>
      <c r="L102" t="s">
        <v>105</v>
      </c>
    </row>
    <row r="103" spans="1:12" x14ac:dyDescent="0.25">
      <c r="A103" t="s">
        <v>718</v>
      </c>
      <c r="B103" t="s">
        <v>719</v>
      </c>
      <c r="C103" t="s">
        <v>919</v>
      </c>
      <c r="D103" t="s">
        <v>925</v>
      </c>
      <c r="E103" t="s">
        <v>926</v>
      </c>
      <c r="F103" t="s">
        <v>722</v>
      </c>
      <c r="G103" t="s">
        <v>723</v>
      </c>
      <c r="H103" t="s">
        <v>921</v>
      </c>
      <c r="I103" t="s">
        <v>927</v>
      </c>
      <c r="J103" t="s">
        <v>921</v>
      </c>
      <c r="L103" t="s">
        <v>105</v>
      </c>
    </row>
    <row r="104" spans="1:12" x14ac:dyDescent="0.25">
      <c r="A104" t="s">
        <v>718</v>
      </c>
      <c r="B104" t="s">
        <v>719</v>
      </c>
      <c r="C104" t="s">
        <v>919</v>
      </c>
      <c r="D104" t="s">
        <v>928</v>
      </c>
      <c r="E104" t="s">
        <v>368</v>
      </c>
      <c r="F104" t="s">
        <v>722</v>
      </c>
      <c r="G104" t="s">
        <v>723</v>
      </c>
      <c r="H104" t="s">
        <v>921</v>
      </c>
      <c r="I104" t="s">
        <v>929</v>
      </c>
      <c r="J104" t="s">
        <v>921</v>
      </c>
      <c r="L104" t="s">
        <v>105</v>
      </c>
    </row>
    <row r="105" spans="1:12" x14ac:dyDescent="0.25">
      <c r="A105" t="s">
        <v>718</v>
      </c>
      <c r="B105" t="s">
        <v>719</v>
      </c>
      <c r="C105" t="s">
        <v>919</v>
      </c>
      <c r="D105" t="s">
        <v>930</v>
      </c>
      <c r="E105" t="s">
        <v>368</v>
      </c>
      <c r="F105" t="s">
        <v>722</v>
      </c>
      <c r="G105" t="s">
        <v>723</v>
      </c>
      <c r="H105" t="s">
        <v>921</v>
      </c>
      <c r="I105" t="s">
        <v>931</v>
      </c>
      <c r="J105" t="s">
        <v>921</v>
      </c>
      <c r="L105" t="s">
        <v>105</v>
      </c>
    </row>
    <row r="106" spans="1:12" x14ac:dyDescent="0.25">
      <c r="A106" t="s">
        <v>718</v>
      </c>
      <c r="B106" t="s">
        <v>719</v>
      </c>
      <c r="C106" t="s">
        <v>919</v>
      </c>
      <c r="D106" t="s">
        <v>932</v>
      </c>
      <c r="E106" t="s">
        <v>933</v>
      </c>
      <c r="F106" t="s">
        <v>734</v>
      </c>
      <c r="G106" t="s">
        <v>723</v>
      </c>
      <c r="H106" t="s">
        <v>921</v>
      </c>
      <c r="I106" t="s">
        <v>934</v>
      </c>
      <c r="J106" t="s">
        <v>921</v>
      </c>
      <c r="L106" t="s">
        <v>105</v>
      </c>
    </row>
    <row r="107" spans="1:12" x14ac:dyDescent="0.25">
      <c r="A107" t="s">
        <v>718</v>
      </c>
      <c r="B107" t="s">
        <v>719</v>
      </c>
      <c r="C107" t="s">
        <v>919</v>
      </c>
      <c r="D107" t="s">
        <v>935</v>
      </c>
      <c r="E107" t="s">
        <v>368</v>
      </c>
      <c r="F107" t="s">
        <v>722</v>
      </c>
      <c r="G107" t="s">
        <v>723</v>
      </c>
      <c r="H107" t="s">
        <v>921</v>
      </c>
      <c r="I107" t="s">
        <v>936</v>
      </c>
      <c r="J107" t="s">
        <v>921</v>
      </c>
      <c r="L107" t="s">
        <v>105</v>
      </c>
    </row>
    <row r="108" spans="1:12" x14ac:dyDescent="0.25">
      <c r="A108" t="s">
        <v>718</v>
      </c>
      <c r="B108" t="s">
        <v>719</v>
      </c>
      <c r="C108" t="s">
        <v>919</v>
      </c>
      <c r="D108" t="s">
        <v>937</v>
      </c>
      <c r="E108" t="s">
        <v>938</v>
      </c>
      <c r="F108" t="s">
        <v>722</v>
      </c>
      <c r="G108" t="s">
        <v>723</v>
      </c>
      <c r="H108" t="s">
        <v>921</v>
      </c>
      <c r="I108" t="s">
        <v>939</v>
      </c>
      <c r="J108" t="s">
        <v>921</v>
      </c>
      <c r="L108" t="s">
        <v>105</v>
      </c>
    </row>
    <row r="109" spans="1:12" x14ac:dyDescent="0.25">
      <c r="A109" t="s">
        <v>718</v>
      </c>
      <c r="B109" t="s">
        <v>719</v>
      </c>
      <c r="C109" t="s">
        <v>919</v>
      </c>
      <c r="D109" t="s">
        <v>940</v>
      </c>
      <c r="E109" t="s">
        <v>727</v>
      </c>
      <c r="F109" t="s">
        <v>722</v>
      </c>
      <c r="G109" t="s">
        <v>723</v>
      </c>
      <c r="H109" t="s">
        <v>921</v>
      </c>
      <c r="I109" t="s">
        <v>728</v>
      </c>
      <c r="J109" t="s">
        <v>921</v>
      </c>
      <c r="L109" t="s">
        <v>105</v>
      </c>
    </row>
    <row r="110" spans="1:12" x14ac:dyDescent="0.25">
      <c r="A110" t="s">
        <v>718</v>
      </c>
      <c r="B110" t="s">
        <v>719</v>
      </c>
      <c r="C110" t="s">
        <v>919</v>
      </c>
      <c r="D110" t="s">
        <v>941</v>
      </c>
      <c r="E110" t="s">
        <v>90</v>
      </c>
      <c r="F110" t="s">
        <v>722</v>
      </c>
      <c r="G110" t="s">
        <v>723</v>
      </c>
      <c r="H110" t="s">
        <v>921</v>
      </c>
      <c r="I110" t="s">
        <v>942</v>
      </c>
      <c r="J110" t="s">
        <v>921</v>
      </c>
      <c r="L110" t="s">
        <v>105</v>
      </c>
    </row>
    <row r="111" spans="1:12" x14ac:dyDescent="0.25">
      <c r="A111" t="s">
        <v>718</v>
      </c>
      <c r="B111" t="s">
        <v>719</v>
      </c>
      <c r="C111" t="s">
        <v>919</v>
      </c>
      <c r="D111" t="s">
        <v>943</v>
      </c>
      <c r="E111" t="s">
        <v>462</v>
      </c>
      <c r="F111" t="s">
        <v>722</v>
      </c>
      <c r="G111" t="s">
        <v>723</v>
      </c>
      <c r="H111" t="s">
        <v>921</v>
      </c>
      <c r="I111" t="s">
        <v>944</v>
      </c>
      <c r="J111" t="s">
        <v>921</v>
      </c>
      <c r="L111" t="s">
        <v>105</v>
      </c>
    </row>
    <row r="112" spans="1:12" x14ac:dyDescent="0.25">
      <c r="A112" t="s">
        <v>718</v>
      </c>
      <c r="B112" t="s">
        <v>719</v>
      </c>
      <c r="C112" t="s">
        <v>919</v>
      </c>
      <c r="D112" t="s">
        <v>945</v>
      </c>
      <c r="E112" t="s">
        <v>368</v>
      </c>
      <c r="F112" t="s">
        <v>734</v>
      </c>
      <c r="G112" t="s">
        <v>723</v>
      </c>
      <c r="H112" t="s">
        <v>921</v>
      </c>
      <c r="I112" t="s">
        <v>946</v>
      </c>
      <c r="J112" t="s">
        <v>921</v>
      </c>
      <c r="L112" t="s">
        <v>105</v>
      </c>
    </row>
    <row r="113" spans="1:12" x14ac:dyDescent="0.25">
      <c r="A113" t="s">
        <v>718</v>
      </c>
      <c r="B113" t="s">
        <v>719</v>
      </c>
      <c r="C113" t="s">
        <v>919</v>
      </c>
      <c r="D113" t="s">
        <v>947</v>
      </c>
      <c r="E113" t="s">
        <v>933</v>
      </c>
      <c r="F113" t="s">
        <v>734</v>
      </c>
      <c r="G113" t="s">
        <v>723</v>
      </c>
      <c r="H113" t="s">
        <v>921</v>
      </c>
      <c r="I113" t="s">
        <v>948</v>
      </c>
      <c r="J113" t="s">
        <v>921</v>
      </c>
      <c r="L113" t="s">
        <v>105</v>
      </c>
    </row>
    <row r="114" spans="1:12" x14ac:dyDescent="0.25">
      <c r="A114" t="s">
        <v>718</v>
      </c>
      <c r="B114" t="s">
        <v>719</v>
      </c>
      <c r="C114" t="s">
        <v>919</v>
      </c>
      <c r="D114" t="s">
        <v>949</v>
      </c>
      <c r="E114" t="s">
        <v>730</v>
      </c>
      <c r="F114" t="s">
        <v>722</v>
      </c>
      <c r="H114" t="s">
        <v>921</v>
      </c>
      <c r="I114" t="s">
        <v>762</v>
      </c>
      <c r="J114" t="s">
        <v>921</v>
      </c>
      <c r="L114" t="s">
        <v>105</v>
      </c>
    </row>
    <row r="115" spans="1:12" x14ac:dyDescent="0.25">
      <c r="A115" t="s">
        <v>718</v>
      </c>
      <c r="B115" t="s">
        <v>719</v>
      </c>
      <c r="C115" t="s">
        <v>919</v>
      </c>
      <c r="D115" t="s">
        <v>950</v>
      </c>
      <c r="E115" t="s">
        <v>733</v>
      </c>
      <c r="F115" t="s">
        <v>734</v>
      </c>
      <c r="H115" t="s">
        <v>921</v>
      </c>
      <c r="I115" t="s">
        <v>764</v>
      </c>
      <c r="J115" t="s">
        <v>921</v>
      </c>
      <c r="L115" t="s">
        <v>105</v>
      </c>
    </row>
    <row r="116" spans="1:12" x14ac:dyDescent="0.25">
      <c r="A116" t="s">
        <v>718</v>
      </c>
      <c r="B116" t="s">
        <v>719</v>
      </c>
      <c r="C116" t="s">
        <v>919</v>
      </c>
      <c r="D116" t="s">
        <v>951</v>
      </c>
      <c r="E116" t="s">
        <v>730</v>
      </c>
      <c r="F116" t="s">
        <v>722</v>
      </c>
      <c r="H116" t="s">
        <v>921</v>
      </c>
      <c r="I116" t="s">
        <v>768</v>
      </c>
      <c r="J116" t="s">
        <v>921</v>
      </c>
      <c r="L116" t="s">
        <v>105</v>
      </c>
    </row>
    <row r="117" spans="1:12" x14ac:dyDescent="0.25">
      <c r="A117" t="s">
        <v>718</v>
      </c>
      <c r="B117" t="s">
        <v>719</v>
      </c>
      <c r="C117" t="s">
        <v>919</v>
      </c>
      <c r="D117" t="s">
        <v>952</v>
      </c>
      <c r="E117" t="s">
        <v>90</v>
      </c>
      <c r="F117" t="s">
        <v>722</v>
      </c>
      <c r="G117" t="s">
        <v>723</v>
      </c>
      <c r="H117" t="s">
        <v>921</v>
      </c>
      <c r="I117" t="s">
        <v>953</v>
      </c>
      <c r="J117" t="s">
        <v>921</v>
      </c>
      <c r="L117" t="s">
        <v>105</v>
      </c>
    </row>
    <row r="118" spans="1:12" x14ac:dyDescent="0.25">
      <c r="A118" t="s">
        <v>718</v>
      </c>
      <c r="B118" t="s">
        <v>719</v>
      </c>
      <c r="C118" t="s">
        <v>919</v>
      </c>
      <c r="D118" t="s">
        <v>954</v>
      </c>
      <c r="E118" t="s">
        <v>730</v>
      </c>
      <c r="F118" t="s">
        <v>722</v>
      </c>
      <c r="G118" t="s">
        <v>723</v>
      </c>
      <c r="H118" t="s">
        <v>921</v>
      </c>
      <c r="I118" t="s">
        <v>731</v>
      </c>
      <c r="J118" t="s">
        <v>921</v>
      </c>
      <c r="L118" t="s">
        <v>105</v>
      </c>
    </row>
    <row r="119" spans="1:12" x14ac:dyDescent="0.25">
      <c r="A119" t="s">
        <v>718</v>
      </c>
      <c r="B119" t="s">
        <v>719</v>
      </c>
      <c r="C119" t="s">
        <v>919</v>
      </c>
      <c r="D119" t="s">
        <v>955</v>
      </c>
      <c r="E119" t="s">
        <v>933</v>
      </c>
      <c r="F119" t="s">
        <v>734</v>
      </c>
      <c r="G119" t="s">
        <v>723</v>
      </c>
      <c r="H119" t="s">
        <v>921</v>
      </c>
      <c r="I119" t="s">
        <v>956</v>
      </c>
      <c r="J119" t="s">
        <v>921</v>
      </c>
      <c r="L119" t="s">
        <v>105</v>
      </c>
    </row>
    <row r="120" spans="1:12" x14ac:dyDescent="0.25">
      <c r="A120" t="s">
        <v>718</v>
      </c>
      <c r="B120" t="s">
        <v>719</v>
      </c>
      <c r="C120" t="s">
        <v>919</v>
      </c>
      <c r="D120" t="s">
        <v>957</v>
      </c>
      <c r="E120" t="s">
        <v>733</v>
      </c>
      <c r="F120" t="s">
        <v>734</v>
      </c>
      <c r="G120" t="s">
        <v>723</v>
      </c>
      <c r="H120" t="s">
        <v>921</v>
      </c>
      <c r="I120" t="s">
        <v>735</v>
      </c>
      <c r="J120" t="s">
        <v>921</v>
      </c>
      <c r="L120" t="s">
        <v>105</v>
      </c>
    </row>
    <row r="121" spans="1:12" x14ac:dyDescent="0.25">
      <c r="A121" t="s">
        <v>718</v>
      </c>
      <c r="B121" t="s">
        <v>719</v>
      </c>
      <c r="C121" t="s">
        <v>919</v>
      </c>
      <c r="D121" t="s">
        <v>958</v>
      </c>
      <c r="E121" t="s">
        <v>429</v>
      </c>
      <c r="F121" t="s">
        <v>722</v>
      </c>
      <c r="G121" t="s">
        <v>723</v>
      </c>
      <c r="H121" t="s">
        <v>921</v>
      </c>
      <c r="I121" t="s">
        <v>959</v>
      </c>
      <c r="J121" t="s">
        <v>921</v>
      </c>
      <c r="L121" t="s">
        <v>105</v>
      </c>
    </row>
    <row r="122" spans="1:12" x14ac:dyDescent="0.25">
      <c r="A122" t="s">
        <v>718</v>
      </c>
      <c r="B122" t="s">
        <v>719</v>
      </c>
      <c r="C122" t="s">
        <v>919</v>
      </c>
      <c r="D122" t="s">
        <v>960</v>
      </c>
      <c r="E122" t="s">
        <v>739</v>
      </c>
      <c r="F122" t="s">
        <v>734</v>
      </c>
      <c r="G122" t="s">
        <v>723</v>
      </c>
      <c r="H122" t="s">
        <v>921</v>
      </c>
      <c r="I122" t="s">
        <v>740</v>
      </c>
      <c r="J122" t="s">
        <v>921</v>
      </c>
      <c r="L122" t="s">
        <v>105</v>
      </c>
    </row>
    <row r="123" spans="1:12" x14ac:dyDescent="0.25">
      <c r="A123" t="s">
        <v>718</v>
      </c>
      <c r="B123" t="s">
        <v>719</v>
      </c>
      <c r="C123" t="s">
        <v>919</v>
      </c>
      <c r="D123" t="s">
        <v>961</v>
      </c>
      <c r="E123" t="s">
        <v>451</v>
      </c>
      <c r="F123" t="s">
        <v>734</v>
      </c>
      <c r="G123" t="s">
        <v>723</v>
      </c>
      <c r="H123" t="s">
        <v>921</v>
      </c>
      <c r="I123" t="s">
        <v>742</v>
      </c>
      <c r="J123" t="s">
        <v>921</v>
      </c>
      <c r="L123" t="s">
        <v>105</v>
      </c>
    </row>
    <row r="124" spans="1:12" x14ac:dyDescent="0.25">
      <c r="A124" t="s">
        <v>718</v>
      </c>
      <c r="B124" t="s">
        <v>719</v>
      </c>
      <c r="C124" t="s">
        <v>919</v>
      </c>
      <c r="D124" t="s">
        <v>962</v>
      </c>
      <c r="E124" t="s">
        <v>90</v>
      </c>
      <c r="F124" t="s">
        <v>722</v>
      </c>
      <c r="G124" t="s">
        <v>723</v>
      </c>
      <c r="H124" t="s">
        <v>921</v>
      </c>
      <c r="I124" t="s">
        <v>963</v>
      </c>
      <c r="J124" t="s">
        <v>921</v>
      </c>
      <c r="L124" t="s">
        <v>105</v>
      </c>
    </row>
    <row r="125" spans="1:12" x14ac:dyDescent="0.25">
      <c r="A125" t="s">
        <v>718</v>
      </c>
      <c r="B125" t="s">
        <v>719</v>
      </c>
      <c r="C125" t="s">
        <v>919</v>
      </c>
      <c r="D125" t="s">
        <v>964</v>
      </c>
      <c r="E125" t="s">
        <v>746</v>
      </c>
      <c r="F125" t="s">
        <v>734</v>
      </c>
      <c r="G125" t="s">
        <v>723</v>
      </c>
      <c r="H125" t="s">
        <v>921</v>
      </c>
      <c r="I125" t="s">
        <v>747</v>
      </c>
      <c r="J125" t="s">
        <v>921</v>
      </c>
      <c r="L125" t="s">
        <v>105</v>
      </c>
    </row>
    <row r="126" spans="1:12" x14ac:dyDescent="0.25">
      <c r="A126" t="s">
        <v>718</v>
      </c>
      <c r="B126" t="s">
        <v>719</v>
      </c>
      <c r="C126" t="s">
        <v>919</v>
      </c>
      <c r="D126" t="s">
        <v>965</v>
      </c>
      <c r="E126" t="s">
        <v>730</v>
      </c>
      <c r="F126" t="s">
        <v>722</v>
      </c>
      <c r="G126" t="s">
        <v>723</v>
      </c>
      <c r="H126" t="s">
        <v>921</v>
      </c>
      <c r="I126" t="s">
        <v>749</v>
      </c>
      <c r="J126" t="s">
        <v>921</v>
      </c>
      <c r="L126" t="s">
        <v>105</v>
      </c>
    </row>
    <row r="127" spans="1:12" x14ac:dyDescent="0.25">
      <c r="A127" t="s">
        <v>718</v>
      </c>
      <c r="B127" t="s">
        <v>719</v>
      </c>
      <c r="C127" t="s">
        <v>919</v>
      </c>
      <c r="D127" t="s">
        <v>966</v>
      </c>
      <c r="E127" t="s">
        <v>751</v>
      </c>
      <c r="F127" t="s">
        <v>734</v>
      </c>
      <c r="G127" t="s">
        <v>723</v>
      </c>
      <c r="H127" t="s">
        <v>921</v>
      </c>
      <c r="I127" t="s">
        <v>967</v>
      </c>
      <c r="J127" t="s">
        <v>921</v>
      </c>
      <c r="L127" t="s">
        <v>105</v>
      </c>
    </row>
    <row r="128" spans="1:12" x14ac:dyDescent="0.25">
      <c r="A128" t="s">
        <v>718</v>
      </c>
      <c r="B128" t="s">
        <v>719</v>
      </c>
      <c r="C128" t="s">
        <v>919</v>
      </c>
      <c r="D128" t="s">
        <v>968</v>
      </c>
      <c r="E128" t="s">
        <v>90</v>
      </c>
      <c r="F128" t="s">
        <v>722</v>
      </c>
      <c r="G128" t="s">
        <v>723</v>
      </c>
      <c r="H128" t="s">
        <v>921</v>
      </c>
      <c r="I128" t="s">
        <v>969</v>
      </c>
      <c r="J128" t="s">
        <v>921</v>
      </c>
      <c r="L128" t="s">
        <v>105</v>
      </c>
    </row>
    <row r="129" spans="1:12" x14ac:dyDescent="0.25">
      <c r="A129" t="s">
        <v>718</v>
      </c>
      <c r="B129" t="s">
        <v>719</v>
      </c>
      <c r="C129" t="s">
        <v>919</v>
      </c>
      <c r="D129" t="s">
        <v>970</v>
      </c>
      <c r="E129" t="s">
        <v>971</v>
      </c>
      <c r="F129" t="s">
        <v>734</v>
      </c>
      <c r="G129" t="s">
        <v>723</v>
      </c>
      <c r="H129" t="s">
        <v>921</v>
      </c>
      <c r="I129" t="s">
        <v>972</v>
      </c>
      <c r="J129" t="s">
        <v>921</v>
      </c>
      <c r="L129" t="s">
        <v>105</v>
      </c>
    </row>
    <row r="130" spans="1:12" x14ac:dyDescent="0.25">
      <c r="A130" t="s">
        <v>718</v>
      </c>
      <c r="B130" t="s">
        <v>719</v>
      </c>
      <c r="C130" t="s">
        <v>919</v>
      </c>
      <c r="D130" t="s">
        <v>973</v>
      </c>
      <c r="E130" t="s">
        <v>368</v>
      </c>
      <c r="F130" t="s">
        <v>722</v>
      </c>
      <c r="G130" t="s">
        <v>723</v>
      </c>
      <c r="H130" t="s">
        <v>921</v>
      </c>
      <c r="I130" t="s">
        <v>974</v>
      </c>
      <c r="J130" t="s">
        <v>921</v>
      </c>
      <c r="L130" t="s">
        <v>105</v>
      </c>
    </row>
    <row r="131" spans="1:12" x14ac:dyDescent="0.25">
      <c r="A131" t="s">
        <v>718</v>
      </c>
      <c r="B131" t="s">
        <v>719</v>
      </c>
      <c r="C131" t="s">
        <v>919</v>
      </c>
      <c r="D131" t="s">
        <v>975</v>
      </c>
      <c r="E131" t="s">
        <v>90</v>
      </c>
      <c r="F131" t="s">
        <v>734</v>
      </c>
      <c r="G131" t="s">
        <v>723</v>
      </c>
      <c r="H131" t="s">
        <v>921</v>
      </c>
      <c r="I131" t="s">
        <v>976</v>
      </c>
      <c r="J131" t="s">
        <v>921</v>
      </c>
      <c r="L131" t="s">
        <v>105</v>
      </c>
    </row>
    <row r="132" spans="1:12" x14ac:dyDescent="0.25">
      <c r="A132" t="s">
        <v>718</v>
      </c>
      <c r="B132" t="s">
        <v>719</v>
      </c>
      <c r="C132" t="s">
        <v>919</v>
      </c>
      <c r="D132" t="s">
        <v>977</v>
      </c>
      <c r="E132" t="s">
        <v>368</v>
      </c>
      <c r="F132" t="s">
        <v>722</v>
      </c>
      <c r="G132" t="s">
        <v>723</v>
      </c>
      <c r="H132" t="s">
        <v>921</v>
      </c>
      <c r="I132" t="s">
        <v>978</v>
      </c>
      <c r="J132" t="s">
        <v>921</v>
      </c>
      <c r="L132" t="s">
        <v>105</v>
      </c>
    </row>
    <row r="133" spans="1:12" x14ac:dyDescent="0.25">
      <c r="A133" t="s">
        <v>718</v>
      </c>
      <c r="B133" t="s">
        <v>719</v>
      </c>
      <c r="C133" t="s">
        <v>919</v>
      </c>
      <c r="D133" t="s">
        <v>979</v>
      </c>
      <c r="E133" t="s">
        <v>368</v>
      </c>
      <c r="F133" t="s">
        <v>722</v>
      </c>
      <c r="G133" t="s">
        <v>723</v>
      </c>
      <c r="H133" t="s">
        <v>921</v>
      </c>
      <c r="I133" t="s">
        <v>980</v>
      </c>
      <c r="J133" t="s">
        <v>921</v>
      </c>
      <c r="L133" t="s">
        <v>105</v>
      </c>
    </row>
    <row r="134" spans="1:12" x14ac:dyDescent="0.25">
      <c r="A134" t="s">
        <v>718</v>
      </c>
      <c r="B134" t="s">
        <v>719</v>
      </c>
      <c r="C134" t="s">
        <v>919</v>
      </c>
      <c r="D134" t="s">
        <v>981</v>
      </c>
      <c r="E134" t="s">
        <v>368</v>
      </c>
      <c r="F134" t="s">
        <v>722</v>
      </c>
      <c r="G134" t="s">
        <v>723</v>
      </c>
      <c r="H134" t="s">
        <v>921</v>
      </c>
      <c r="I134" t="s">
        <v>982</v>
      </c>
      <c r="J134" t="s">
        <v>921</v>
      </c>
      <c r="L134" t="s">
        <v>105</v>
      </c>
    </row>
    <row r="135" spans="1:12" x14ac:dyDescent="0.25">
      <c r="A135" t="s">
        <v>718</v>
      </c>
      <c r="B135" t="s">
        <v>719</v>
      </c>
      <c r="C135" t="s">
        <v>919</v>
      </c>
      <c r="D135" t="s">
        <v>983</v>
      </c>
      <c r="E135" t="s">
        <v>786</v>
      </c>
      <c r="F135" t="s">
        <v>734</v>
      </c>
      <c r="G135" t="s">
        <v>723</v>
      </c>
      <c r="H135" t="s">
        <v>921</v>
      </c>
      <c r="I135" t="s">
        <v>787</v>
      </c>
      <c r="J135" t="s">
        <v>921</v>
      </c>
      <c r="L135" t="s">
        <v>105</v>
      </c>
    </row>
    <row r="136" spans="1:12" x14ac:dyDescent="0.25">
      <c r="A136" t="s">
        <v>718</v>
      </c>
      <c r="B136" t="s">
        <v>719</v>
      </c>
      <c r="C136" t="s">
        <v>919</v>
      </c>
      <c r="D136" t="s">
        <v>984</v>
      </c>
      <c r="E136" t="s">
        <v>368</v>
      </c>
      <c r="F136" t="s">
        <v>722</v>
      </c>
      <c r="G136" t="s">
        <v>723</v>
      </c>
      <c r="H136" t="s">
        <v>921</v>
      </c>
      <c r="I136" t="s">
        <v>985</v>
      </c>
      <c r="J136" t="s">
        <v>921</v>
      </c>
      <c r="L136" t="s">
        <v>105</v>
      </c>
    </row>
    <row r="137" spans="1:12" x14ac:dyDescent="0.25">
      <c r="A137" t="s">
        <v>718</v>
      </c>
      <c r="B137" t="s">
        <v>719</v>
      </c>
      <c r="C137" t="s">
        <v>986</v>
      </c>
      <c r="D137" t="s">
        <v>987</v>
      </c>
      <c r="E137" t="s">
        <v>988</v>
      </c>
      <c r="F137" t="s">
        <v>734</v>
      </c>
      <c r="G137" t="s">
        <v>723</v>
      </c>
      <c r="H137" t="s">
        <v>989</v>
      </c>
      <c r="I137" t="s">
        <v>990</v>
      </c>
      <c r="J137" t="s">
        <v>989</v>
      </c>
      <c r="L137" t="s">
        <v>105</v>
      </c>
    </row>
    <row r="138" spans="1:12" x14ac:dyDescent="0.25">
      <c r="A138" t="s">
        <v>718</v>
      </c>
      <c r="B138" t="s">
        <v>719</v>
      </c>
      <c r="C138" t="s">
        <v>986</v>
      </c>
      <c r="D138" t="s">
        <v>991</v>
      </c>
      <c r="E138" t="s">
        <v>751</v>
      </c>
      <c r="F138" t="s">
        <v>722</v>
      </c>
      <c r="G138" t="s">
        <v>723</v>
      </c>
      <c r="H138" t="s">
        <v>989</v>
      </c>
      <c r="I138" t="s">
        <v>992</v>
      </c>
      <c r="J138" t="s">
        <v>989</v>
      </c>
      <c r="L138" t="s">
        <v>105</v>
      </c>
    </row>
    <row r="139" spans="1:12" x14ac:dyDescent="0.25">
      <c r="A139" t="s">
        <v>718</v>
      </c>
      <c r="B139" t="s">
        <v>719</v>
      </c>
      <c r="C139" t="s">
        <v>986</v>
      </c>
      <c r="D139" t="s">
        <v>993</v>
      </c>
      <c r="E139" t="s">
        <v>368</v>
      </c>
      <c r="F139" t="s">
        <v>722</v>
      </c>
      <c r="G139" t="s">
        <v>723</v>
      </c>
      <c r="H139" t="s">
        <v>989</v>
      </c>
      <c r="I139" t="s">
        <v>931</v>
      </c>
      <c r="J139" t="s">
        <v>989</v>
      </c>
      <c r="L139" t="s">
        <v>105</v>
      </c>
    </row>
    <row r="140" spans="1:12" x14ac:dyDescent="0.25">
      <c r="A140" t="s">
        <v>718</v>
      </c>
      <c r="B140" t="s">
        <v>719</v>
      </c>
      <c r="C140" t="s">
        <v>986</v>
      </c>
      <c r="D140" t="s">
        <v>994</v>
      </c>
      <c r="E140" t="s">
        <v>938</v>
      </c>
      <c r="F140" t="s">
        <v>722</v>
      </c>
      <c r="G140" t="s">
        <v>723</v>
      </c>
      <c r="H140" t="s">
        <v>989</v>
      </c>
      <c r="I140" t="s">
        <v>995</v>
      </c>
      <c r="J140" t="s">
        <v>989</v>
      </c>
      <c r="L140" t="s">
        <v>105</v>
      </c>
    </row>
    <row r="141" spans="1:12" x14ac:dyDescent="0.25">
      <c r="A141" t="s">
        <v>718</v>
      </c>
      <c r="B141" t="s">
        <v>719</v>
      </c>
      <c r="C141" t="s">
        <v>986</v>
      </c>
      <c r="D141" t="s">
        <v>996</v>
      </c>
      <c r="E141" t="s">
        <v>727</v>
      </c>
      <c r="F141" t="s">
        <v>722</v>
      </c>
      <c r="G141" t="s">
        <v>723</v>
      </c>
      <c r="H141" t="s">
        <v>989</v>
      </c>
      <c r="I141" t="s">
        <v>728</v>
      </c>
      <c r="J141" t="s">
        <v>989</v>
      </c>
      <c r="L141" t="s">
        <v>105</v>
      </c>
    </row>
    <row r="142" spans="1:12" x14ac:dyDescent="0.25">
      <c r="A142" t="s">
        <v>718</v>
      </c>
      <c r="B142" t="s">
        <v>719</v>
      </c>
      <c r="C142" t="s">
        <v>986</v>
      </c>
      <c r="D142" t="s">
        <v>997</v>
      </c>
      <c r="E142" t="s">
        <v>933</v>
      </c>
      <c r="F142" t="s">
        <v>734</v>
      </c>
      <c r="G142" t="s">
        <v>723</v>
      </c>
      <c r="H142" t="s">
        <v>989</v>
      </c>
      <c r="I142" t="s">
        <v>998</v>
      </c>
      <c r="J142" t="s">
        <v>989</v>
      </c>
      <c r="L142" t="s">
        <v>105</v>
      </c>
    </row>
    <row r="143" spans="1:12" x14ac:dyDescent="0.25">
      <c r="A143" t="s">
        <v>718</v>
      </c>
      <c r="B143" t="s">
        <v>719</v>
      </c>
      <c r="C143" t="s">
        <v>986</v>
      </c>
      <c r="D143" t="s">
        <v>999</v>
      </c>
      <c r="E143" t="s">
        <v>90</v>
      </c>
      <c r="F143" t="s">
        <v>722</v>
      </c>
      <c r="G143" t="s">
        <v>723</v>
      </c>
      <c r="H143" t="s">
        <v>989</v>
      </c>
      <c r="I143" t="s">
        <v>1000</v>
      </c>
      <c r="J143" t="s">
        <v>989</v>
      </c>
      <c r="L143" t="s">
        <v>105</v>
      </c>
    </row>
    <row r="144" spans="1:12" x14ac:dyDescent="0.25">
      <c r="A144" t="s">
        <v>718</v>
      </c>
      <c r="B144" t="s">
        <v>719</v>
      </c>
      <c r="C144" t="s">
        <v>986</v>
      </c>
      <c r="D144" t="s">
        <v>1001</v>
      </c>
      <c r="E144" t="s">
        <v>730</v>
      </c>
      <c r="F144" t="s">
        <v>722</v>
      </c>
      <c r="G144" t="s">
        <v>723</v>
      </c>
      <c r="H144" t="s">
        <v>989</v>
      </c>
      <c r="I144" t="s">
        <v>731</v>
      </c>
      <c r="J144" t="s">
        <v>989</v>
      </c>
      <c r="L144" t="s">
        <v>105</v>
      </c>
    </row>
    <row r="145" spans="1:12" x14ac:dyDescent="0.25">
      <c r="A145" t="s">
        <v>718</v>
      </c>
      <c r="B145" t="s">
        <v>719</v>
      </c>
      <c r="C145" t="s">
        <v>986</v>
      </c>
      <c r="D145" t="s">
        <v>1002</v>
      </c>
      <c r="E145" t="s">
        <v>368</v>
      </c>
      <c r="F145" t="s">
        <v>734</v>
      </c>
      <c r="G145" t="s">
        <v>723</v>
      </c>
      <c r="H145" t="s">
        <v>989</v>
      </c>
      <c r="I145" t="s">
        <v>1003</v>
      </c>
      <c r="J145" t="s">
        <v>989</v>
      </c>
      <c r="L145" t="s">
        <v>105</v>
      </c>
    </row>
    <row r="146" spans="1:12" x14ac:dyDescent="0.25">
      <c r="A146" t="s">
        <v>718</v>
      </c>
      <c r="B146" t="s">
        <v>719</v>
      </c>
      <c r="C146" t="s">
        <v>986</v>
      </c>
      <c r="D146" t="s">
        <v>1004</v>
      </c>
      <c r="E146" t="s">
        <v>926</v>
      </c>
      <c r="F146" t="s">
        <v>722</v>
      </c>
      <c r="G146" t="s">
        <v>723</v>
      </c>
      <c r="H146" t="s">
        <v>989</v>
      </c>
      <c r="I146" t="s">
        <v>1005</v>
      </c>
      <c r="J146" t="s">
        <v>989</v>
      </c>
      <c r="L146" t="s">
        <v>105</v>
      </c>
    </row>
    <row r="147" spans="1:12" x14ac:dyDescent="0.25">
      <c r="A147" t="s">
        <v>718</v>
      </c>
      <c r="B147" t="s">
        <v>719</v>
      </c>
      <c r="C147" t="s">
        <v>986</v>
      </c>
      <c r="D147" t="s">
        <v>1006</v>
      </c>
      <c r="E147" t="s">
        <v>733</v>
      </c>
      <c r="F147" t="s">
        <v>734</v>
      </c>
      <c r="G147" t="s">
        <v>723</v>
      </c>
      <c r="H147" t="s">
        <v>989</v>
      </c>
      <c r="I147" t="s">
        <v>735</v>
      </c>
      <c r="J147" t="s">
        <v>989</v>
      </c>
      <c r="L147" t="s">
        <v>105</v>
      </c>
    </row>
    <row r="148" spans="1:12" x14ac:dyDescent="0.25">
      <c r="A148" t="s">
        <v>718</v>
      </c>
      <c r="B148" t="s">
        <v>719</v>
      </c>
      <c r="C148" t="s">
        <v>986</v>
      </c>
      <c r="D148" t="s">
        <v>1007</v>
      </c>
      <c r="E148" t="s">
        <v>429</v>
      </c>
      <c r="F148" t="s">
        <v>722</v>
      </c>
      <c r="G148" t="s">
        <v>723</v>
      </c>
      <c r="H148" t="s">
        <v>989</v>
      </c>
      <c r="I148" t="s">
        <v>1008</v>
      </c>
      <c r="J148" t="s">
        <v>989</v>
      </c>
      <c r="L148" t="s">
        <v>105</v>
      </c>
    </row>
    <row r="149" spans="1:12" x14ac:dyDescent="0.25">
      <c r="A149" t="s">
        <v>718</v>
      </c>
      <c r="B149" t="s">
        <v>719</v>
      </c>
      <c r="C149" t="s">
        <v>986</v>
      </c>
      <c r="D149" t="s">
        <v>1009</v>
      </c>
      <c r="E149" t="s">
        <v>739</v>
      </c>
      <c r="F149" t="s">
        <v>734</v>
      </c>
      <c r="G149" t="s">
        <v>723</v>
      </c>
      <c r="H149" t="s">
        <v>989</v>
      </c>
      <c r="I149" t="s">
        <v>740</v>
      </c>
      <c r="J149" t="s">
        <v>989</v>
      </c>
      <c r="L149" t="s">
        <v>105</v>
      </c>
    </row>
    <row r="150" spans="1:12" x14ac:dyDescent="0.25">
      <c r="A150" t="s">
        <v>718</v>
      </c>
      <c r="B150" t="s">
        <v>719</v>
      </c>
      <c r="C150" t="s">
        <v>986</v>
      </c>
      <c r="D150" t="s">
        <v>1010</v>
      </c>
      <c r="E150" t="s">
        <v>451</v>
      </c>
      <c r="F150" t="s">
        <v>734</v>
      </c>
      <c r="G150" t="s">
        <v>723</v>
      </c>
      <c r="H150" t="s">
        <v>989</v>
      </c>
      <c r="I150" t="s">
        <v>742</v>
      </c>
      <c r="J150" t="s">
        <v>989</v>
      </c>
      <c r="L150" t="s">
        <v>105</v>
      </c>
    </row>
    <row r="151" spans="1:12" x14ac:dyDescent="0.25">
      <c r="A151" t="s">
        <v>718</v>
      </c>
      <c r="B151" t="s">
        <v>719</v>
      </c>
      <c r="C151" t="s">
        <v>986</v>
      </c>
      <c r="D151" t="s">
        <v>1011</v>
      </c>
      <c r="E151" t="s">
        <v>90</v>
      </c>
      <c r="F151" t="s">
        <v>734</v>
      </c>
      <c r="G151" t="s">
        <v>723</v>
      </c>
      <c r="H151" t="s">
        <v>989</v>
      </c>
      <c r="I151" t="s">
        <v>1012</v>
      </c>
      <c r="J151" t="s">
        <v>989</v>
      </c>
      <c r="L151" t="s">
        <v>105</v>
      </c>
    </row>
    <row r="152" spans="1:12" x14ac:dyDescent="0.25">
      <c r="A152" t="s">
        <v>718</v>
      </c>
      <c r="B152" t="s">
        <v>719</v>
      </c>
      <c r="C152" t="s">
        <v>986</v>
      </c>
      <c r="D152" t="s">
        <v>1013</v>
      </c>
      <c r="E152" t="s">
        <v>746</v>
      </c>
      <c r="F152" t="s">
        <v>734</v>
      </c>
      <c r="G152" t="s">
        <v>723</v>
      </c>
      <c r="H152" t="s">
        <v>989</v>
      </c>
      <c r="I152" t="s">
        <v>747</v>
      </c>
      <c r="J152" t="s">
        <v>989</v>
      </c>
      <c r="L152" t="s">
        <v>105</v>
      </c>
    </row>
    <row r="153" spans="1:12" x14ac:dyDescent="0.25">
      <c r="A153" t="s">
        <v>718</v>
      </c>
      <c r="B153" t="s">
        <v>719</v>
      </c>
      <c r="C153" t="s">
        <v>986</v>
      </c>
      <c r="D153" t="s">
        <v>1014</v>
      </c>
      <c r="E153" t="s">
        <v>451</v>
      </c>
      <c r="F153" t="s">
        <v>734</v>
      </c>
      <c r="G153" t="s">
        <v>723</v>
      </c>
      <c r="H153" t="s">
        <v>989</v>
      </c>
      <c r="I153" t="s">
        <v>1015</v>
      </c>
      <c r="J153" t="s">
        <v>989</v>
      </c>
      <c r="L153" t="s">
        <v>105</v>
      </c>
    </row>
    <row r="154" spans="1:12" x14ac:dyDescent="0.25">
      <c r="A154" t="s">
        <v>718</v>
      </c>
      <c r="B154" t="s">
        <v>719</v>
      </c>
      <c r="C154" t="s">
        <v>986</v>
      </c>
      <c r="D154" t="s">
        <v>1016</v>
      </c>
      <c r="E154" t="s">
        <v>730</v>
      </c>
      <c r="F154" t="s">
        <v>722</v>
      </c>
      <c r="G154" t="s">
        <v>723</v>
      </c>
      <c r="H154" t="s">
        <v>989</v>
      </c>
      <c r="I154" t="s">
        <v>749</v>
      </c>
      <c r="J154" t="s">
        <v>989</v>
      </c>
      <c r="L154" t="s">
        <v>105</v>
      </c>
    </row>
    <row r="155" spans="1:12" x14ac:dyDescent="0.25">
      <c r="A155" t="s">
        <v>718</v>
      </c>
      <c r="B155" t="s">
        <v>719</v>
      </c>
      <c r="C155" t="s">
        <v>986</v>
      </c>
      <c r="D155" t="s">
        <v>1017</v>
      </c>
      <c r="E155" t="s">
        <v>751</v>
      </c>
      <c r="F155" t="s">
        <v>734</v>
      </c>
      <c r="G155" t="s">
        <v>723</v>
      </c>
      <c r="H155" t="s">
        <v>989</v>
      </c>
      <c r="I155" t="s">
        <v>1018</v>
      </c>
      <c r="J155" t="s">
        <v>989</v>
      </c>
      <c r="L155" t="s">
        <v>105</v>
      </c>
    </row>
    <row r="156" spans="1:12" x14ac:dyDescent="0.25">
      <c r="A156" t="s">
        <v>718</v>
      </c>
      <c r="B156" t="s">
        <v>719</v>
      </c>
      <c r="C156" t="s">
        <v>986</v>
      </c>
      <c r="D156" t="s">
        <v>1019</v>
      </c>
      <c r="E156" t="s">
        <v>1020</v>
      </c>
      <c r="F156" t="s">
        <v>734</v>
      </c>
      <c r="G156" t="s">
        <v>723</v>
      </c>
      <c r="H156" t="s">
        <v>989</v>
      </c>
      <c r="I156" t="s">
        <v>1021</v>
      </c>
      <c r="J156" t="s">
        <v>989</v>
      </c>
      <c r="L156" t="s">
        <v>105</v>
      </c>
    </row>
    <row r="157" spans="1:12" x14ac:dyDescent="0.25">
      <c r="A157" t="s">
        <v>718</v>
      </c>
      <c r="B157" t="s">
        <v>719</v>
      </c>
      <c r="C157" t="s">
        <v>986</v>
      </c>
      <c r="D157" t="s">
        <v>1022</v>
      </c>
      <c r="E157" t="s">
        <v>90</v>
      </c>
      <c r="F157" t="s">
        <v>734</v>
      </c>
      <c r="G157" t="s">
        <v>723</v>
      </c>
      <c r="H157" t="s">
        <v>989</v>
      </c>
      <c r="I157" t="s">
        <v>1023</v>
      </c>
      <c r="J157" t="s">
        <v>989</v>
      </c>
      <c r="L157" t="s">
        <v>105</v>
      </c>
    </row>
    <row r="158" spans="1:12" x14ac:dyDescent="0.25">
      <c r="A158" t="s">
        <v>718</v>
      </c>
      <c r="B158" t="s">
        <v>719</v>
      </c>
      <c r="C158" t="s">
        <v>986</v>
      </c>
      <c r="D158" t="s">
        <v>1024</v>
      </c>
      <c r="E158" t="s">
        <v>462</v>
      </c>
      <c r="F158" t="s">
        <v>734</v>
      </c>
      <c r="G158" t="s">
        <v>723</v>
      </c>
      <c r="H158" t="s">
        <v>989</v>
      </c>
      <c r="I158" t="s">
        <v>1025</v>
      </c>
      <c r="J158" t="s">
        <v>989</v>
      </c>
      <c r="L158" t="s">
        <v>105</v>
      </c>
    </row>
    <row r="159" spans="1:12" x14ac:dyDescent="0.25">
      <c r="A159" t="s">
        <v>718</v>
      </c>
      <c r="B159" t="s">
        <v>719</v>
      </c>
      <c r="C159" t="s">
        <v>986</v>
      </c>
      <c r="D159" t="s">
        <v>1026</v>
      </c>
      <c r="E159" t="s">
        <v>1027</v>
      </c>
      <c r="F159" t="s">
        <v>734</v>
      </c>
      <c r="G159" t="s">
        <v>723</v>
      </c>
      <c r="H159" t="s">
        <v>989</v>
      </c>
      <c r="I159" t="s">
        <v>1028</v>
      </c>
      <c r="J159" t="s">
        <v>989</v>
      </c>
      <c r="L159" t="s">
        <v>105</v>
      </c>
    </row>
    <row r="160" spans="1:12" x14ac:dyDescent="0.25">
      <c r="A160" t="s">
        <v>718</v>
      </c>
      <c r="B160" t="s">
        <v>719</v>
      </c>
      <c r="C160" t="s">
        <v>986</v>
      </c>
      <c r="D160" t="s">
        <v>1029</v>
      </c>
      <c r="E160" t="s">
        <v>730</v>
      </c>
      <c r="F160" t="s">
        <v>722</v>
      </c>
      <c r="H160" t="s">
        <v>989</v>
      </c>
      <c r="I160" t="s">
        <v>762</v>
      </c>
      <c r="J160" t="s">
        <v>989</v>
      </c>
      <c r="L160" t="s">
        <v>105</v>
      </c>
    </row>
    <row r="161" spans="1:12" x14ac:dyDescent="0.25">
      <c r="A161" t="s">
        <v>718</v>
      </c>
      <c r="B161" t="s">
        <v>719</v>
      </c>
      <c r="C161" t="s">
        <v>986</v>
      </c>
      <c r="D161" t="s">
        <v>1030</v>
      </c>
      <c r="E161" t="s">
        <v>733</v>
      </c>
      <c r="F161" t="s">
        <v>734</v>
      </c>
      <c r="H161" t="s">
        <v>989</v>
      </c>
      <c r="I161" t="s">
        <v>764</v>
      </c>
      <c r="J161" t="s">
        <v>989</v>
      </c>
      <c r="L161" t="s">
        <v>105</v>
      </c>
    </row>
    <row r="162" spans="1:12" x14ac:dyDescent="0.25">
      <c r="A162" t="s">
        <v>718</v>
      </c>
      <c r="B162" t="s">
        <v>719</v>
      </c>
      <c r="C162" t="s">
        <v>986</v>
      </c>
      <c r="D162" t="s">
        <v>1031</v>
      </c>
      <c r="E162" t="s">
        <v>1027</v>
      </c>
      <c r="F162" t="s">
        <v>804</v>
      </c>
      <c r="G162" t="s">
        <v>723</v>
      </c>
      <c r="H162" t="s">
        <v>989</v>
      </c>
      <c r="I162" t="s">
        <v>1032</v>
      </c>
      <c r="J162" t="s">
        <v>989</v>
      </c>
      <c r="L162" t="s">
        <v>105</v>
      </c>
    </row>
    <row r="163" spans="1:12" x14ac:dyDescent="0.25">
      <c r="A163" t="s">
        <v>718</v>
      </c>
      <c r="B163" t="s">
        <v>719</v>
      </c>
      <c r="C163" t="s">
        <v>986</v>
      </c>
      <c r="D163" t="s">
        <v>1033</v>
      </c>
      <c r="E163" t="s">
        <v>1027</v>
      </c>
      <c r="F163" t="s">
        <v>804</v>
      </c>
      <c r="G163" t="s">
        <v>723</v>
      </c>
      <c r="H163" t="s">
        <v>989</v>
      </c>
      <c r="I163" t="s">
        <v>1034</v>
      </c>
      <c r="J163" t="s">
        <v>989</v>
      </c>
      <c r="L163" t="s">
        <v>105</v>
      </c>
    </row>
    <row r="164" spans="1:12" x14ac:dyDescent="0.25">
      <c r="A164" t="s">
        <v>718</v>
      </c>
      <c r="B164" t="s">
        <v>719</v>
      </c>
      <c r="C164" t="s">
        <v>986</v>
      </c>
      <c r="D164" t="s">
        <v>1035</v>
      </c>
      <c r="E164" t="s">
        <v>730</v>
      </c>
      <c r="F164" t="s">
        <v>722</v>
      </c>
      <c r="H164" t="s">
        <v>989</v>
      </c>
      <c r="I164" t="s">
        <v>768</v>
      </c>
      <c r="J164" t="s">
        <v>989</v>
      </c>
      <c r="L164" t="s">
        <v>105</v>
      </c>
    </row>
    <row r="165" spans="1:12" x14ac:dyDescent="0.25">
      <c r="A165" t="s">
        <v>718</v>
      </c>
      <c r="B165" t="s">
        <v>719</v>
      </c>
      <c r="C165" t="s">
        <v>986</v>
      </c>
      <c r="D165" t="s">
        <v>1036</v>
      </c>
      <c r="E165" t="s">
        <v>451</v>
      </c>
      <c r="F165" t="s">
        <v>734</v>
      </c>
      <c r="G165" t="s">
        <v>723</v>
      </c>
      <c r="H165" t="s">
        <v>989</v>
      </c>
      <c r="I165" t="s">
        <v>1037</v>
      </c>
      <c r="J165" t="s">
        <v>989</v>
      </c>
      <c r="L165" t="s">
        <v>105</v>
      </c>
    </row>
    <row r="166" spans="1:12" x14ac:dyDescent="0.25">
      <c r="A166" t="s">
        <v>718</v>
      </c>
      <c r="B166" t="s">
        <v>719</v>
      </c>
      <c r="C166" t="s">
        <v>986</v>
      </c>
      <c r="D166" t="s">
        <v>1038</v>
      </c>
      <c r="E166" t="s">
        <v>786</v>
      </c>
      <c r="F166" t="s">
        <v>734</v>
      </c>
      <c r="G166" t="s">
        <v>723</v>
      </c>
      <c r="H166" t="s">
        <v>989</v>
      </c>
      <c r="I166" t="s">
        <v>787</v>
      </c>
      <c r="J166" t="s">
        <v>989</v>
      </c>
      <c r="L166" t="s">
        <v>105</v>
      </c>
    </row>
    <row r="167" spans="1:12" x14ac:dyDescent="0.25">
      <c r="A167" t="s">
        <v>718</v>
      </c>
      <c r="B167" t="s">
        <v>719</v>
      </c>
      <c r="C167" t="s">
        <v>986</v>
      </c>
      <c r="D167" t="s">
        <v>1039</v>
      </c>
      <c r="E167" t="s">
        <v>368</v>
      </c>
      <c r="F167" t="s">
        <v>722</v>
      </c>
      <c r="G167" t="s">
        <v>723</v>
      </c>
      <c r="H167" t="s">
        <v>989</v>
      </c>
      <c r="I167" t="s">
        <v>1040</v>
      </c>
      <c r="J167" t="s">
        <v>989</v>
      </c>
      <c r="L167" t="s">
        <v>105</v>
      </c>
    </row>
    <row r="168" spans="1:12" x14ac:dyDescent="0.25">
      <c r="A168" t="s">
        <v>718</v>
      </c>
      <c r="B168" t="s">
        <v>719</v>
      </c>
      <c r="C168" t="s">
        <v>986</v>
      </c>
      <c r="D168" t="s">
        <v>1041</v>
      </c>
      <c r="E168" t="s">
        <v>1042</v>
      </c>
      <c r="F168" t="s">
        <v>722</v>
      </c>
      <c r="G168" t="s">
        <v>723</v>
      </c>
      <c r="H168" t="s">
        <v>989</v>
      </c>
      <c r="I168" t="s">
        <v>1043</v>
      </c>
      <c r="J168" t="s">
        <v>989</v>
      </c>
      <c r="L168" t="s">
        <v>105</v>
      </c>
    </row>
    <row r="169" spans="1:12" x14ac:dyDescent="0.25">
      <c r="A169" t="s">
        <v>718</v>
      </c>
      <c r="B169" t="s">
        <v>719</v>
      </c>
      <c r="C169" t="s">
        <v>1044</v>
      </c>
      <c r="D169" t="s">
        <v>1045</v>
      </c>
      <c r="E169" t="s">
        <v>850</v>
      </c>
      <c r="F169" t="s">
        <v>734</v>
      </c>
      <c r="G169" t="s">
        <v>723</v>
      </c>
      <c r="H169" t="s">
        <v>1046</v>
      </c>
      <c r="I169" t="s">
        <v>1047</v>
      </c>
      <c r="J169" t="s">
        <v>1046</v>
      </c>
      <c r="L169" t="s">
        <v>105</v>
      </c>
    </row>
    <row r="170" spans="1:12" x14ac:dyDescent="0.25">
      <c r="A170" t="s">
        <v>718</v>
      </c>
      <c r="B170" t="s">
        <v>719</v>
      </c>
      <c r="C170" t="s">
        <v>1044</v>
      </c>
      <c r="D170" t="s">
        <v>1048</v>
      </c>
      <c r="E170" t="s">
        <v>751</v>
      </c>
      <c r="F170" t="s">
        <v>722</v>
      </c>
      <c r="G170" t="s">
        <v>723</v>
      </c>
      <c r="H170" t="s">
        <v>1046</v>
      </c>
      <c r="I170" t="s">
        <v>1049</v>
      </c>
      <c r="J170" t="s">
        <v>1046</v>
      </c>
      <c r="L170" t="s">
        <v>105</v>
      </c>
    </row>
    <row r="171" spans="1:12" x14ac:dyDescent="0.25">
      <c r="A171" t="s">
        <v>718</v>
      </c>
      <c r="B171" t="s">
        <v>719</v>
      </c>
      <c r="C171" t="s">
        <v>1044</v>
      </c>
      <c r="D171" t="s">
        <v>1050</v>
      </c>
      <c r="E171" t="s">
        <v>938</v>
      </c>
      <c r="F171" t="s">
        <v>722</v>
      </c>
      <c r="G171" t="s">
        <v>723</v>
      </c>
      <c r="H171" t="s">
        <v>1046</v>
      </c>
      <c r="I171" t="s">
        <v>1051</v>
      </c>
      <c r="J171" t="s">
        <v>1046</v>
      </c>
      <c r="L171" t="s">
        <v>105</v>
      </c>
    </row>
    <row r="172" spans="1:12" x14ac:dyDescent="0.25">
      <c r="A172" t="s">
        <v>718</v>
      </c>
      <c r="B172" t="s">
        <v>719</v>
      </c>
      <c r="C172" t="s">
        <v>1044</v>
      </c>
      <c r="D172" t="s">
        <v>1052</v>
      </c>
      <c r="E172" t="s">
        <v>727</v>
      </c>
      <c r="F172" t="s">
        <v>722</v>
      </c>
      <c r="G172" t="s">
        <v>723</v>
      </c>
      <c r="H172" t="s">
        <v>1046</v>
      </c>
      <c r="I172" t="s">
        <v>728</v>
      </c>
      <c r="J172" t="s">
        <v>1046</v>
      </c>
      <c r="L172" t="s">
        <v>105</v>
      </c>
    </row>
    <row r="173" spans="1:12" x14ac:dyDescent="0.25">
      <c r="A173" t="s">
        <v>718</v>
      </c>
      <c r="B173" t="s">
        <v>719</v>
      </c>
      <c r="C173" t="s">
        <v>1044</v>
      </c>
      <c r="D173" t="s">
        <v>1053</v>
      </c>
      <c r="E173" t="s">
        <v>933</v>
      </c>
      <c r="F173" t="s">
        <v>734</v>
      </c>
      <c r="G173" t="s">
        <v>723</v>
      </c>
      <c r="H173" t="s">
        <v>1046</v>
      </c>
      <c r="I173" t="s">
        <v>1054</v>
      </c>
      <c r="J173" t="s">
        <v>1046</v>
      </c>
      <c r="L173" t="s">
        <v>105</v>
      </c>
    </row>
    <row r="174" spans="1:12" x14ac:dyDescent="0.25">
      <c r="A174" t="s">
        <v>718</v>
      </c>
      <c r="B174" t="s">
        <v>719</v>
      </c>
      <c r="C174" t="s">
        <v>1044</v>
      </c>
      <c r="D174" t="s">
        <v>1055</v>
      </c>
      <c r="E174" t="s">
        <v>90</v>
      </c>
      <c r="F174" t="s">
        <v>722</v>
      </c>
      <c r="G174" t="s">
        <v>723</v>
      </c>
      <c r="H174" t="s">
        <v>1046</v>
      </c>
      <c r="I174" t="s">
        <v>1056</v>
      </c>
      <c r="J174" t="s">
        <v>1046</v>
      </c>
      <c r="L174" t="s">
        <v>105</v>
      </c>
    </row>
    <row r="175" spans="1:12" x14ac:dyDescent="0.25">
      <c r="A175" t="s">
        <v>718</v>
      </c>
      <c r="B175" t="s">
        <v>719</v>
      </c>
      <c r="C175" t="s">
        <v>1044</v>
      </c>
      <c r="D175" t="s">
        <v>1057</v>
      </c>
      <c r="E175" t="s">
        <v>730</v>
      </c>
      <c r="F175" t="s">
        <v>722</v>
      </c>
      <c r="G175" t="s">
        <v>723</v>
      </c>
      <c r="H175" t="s">
        <v>1046</v>
      </c>
      <c r="I175" t="s">
        <v>731</v>
      </c>
      <c r="J175" t="s">
        <v>1046</v>
      </c>
      <c r="L175" t="s">
        <v>105</v>
      </c>
    </row>
    <row r="176" spans="1:12" x14ac:dyDescent="0.25">
      <c r="A176" t="s">
        <v>718</v>
      </c>
      <c r="B176" t="s">
        <v>719</v>
      </c>
      <c r="C176" t="s">
        <v>1044</v>
      </c>
      <c r="D176" t="s">
        <v>1058</v>
      </c>
      <c r="E176" t="s">
        <v>733</v>
      </c>
      <c r="F176" t="s">
        <v>734</v>
      </c>
      <c r="G176" t="s">
        <v>723</v>
      </c>
      <c r="H176" t="s">
        <v>1046</v>
      </c>
      <c r="I176" t="s">
        <v>735</v>
      </c>
      <c r="J176" t="s">
        <v>1046</v>
      </c>
      <c r="L176" t="s">
        <v>105</v>
      </c>
    </row>
    <row r="177" spans="1:12" x14ac:dyDescent="0.25">
      <c r="A177" t="s">
        <v>718</v>
      </c>
      <c r="B177" t="s">
        <v>719</v>
      </c>
      <c r="C177" t="s">
        <v>1044</v>
      </c>
      <c r="D177" t="s">
        <v>1059</v>
      </c>
      <c r="E177" t="s">
        <v>429</v>
      </c>
      <c r="F177" t="s">
        <v>722</v>
      </c>
      <c r="G177" t="s">
        <v>723</v>
      </c>
      <c r="H177" t="s">
        <v>1046</v>
      </c>
      <c r="I177" t="s">
        <v>1060</v>
      </c>
      <c r="J177" t="s">
        <v>1046</v>
      </c>
      <c r="L177" t="s">
        <v>105</v>
      </c>
    </row>
    <row r="178" spans="1:12" x14ac:dyDescent="0.25">
      <c r="A178" t="s">
        <v>718</v>
      </c>
      <c r="B178" t="s">
        <v>719</v>
      </c>
      <c r="C178" t="s">
        <v>1044</v>
      </c>
      <c r="D178" t="s">
        <v>1061</v>
      </c>
      <c r="E178" t="s">
        <v>739</v>
      </c>
      <c r="F178" t="s">
        <v>734</v>
      </c>
      <c r="G178" t="s">
        <v>723</v>
      </c>
      <c r="H178" t="s">
        <v>1046</v>
      </c>
      <c r="I178" t="s">
        <v>740</v>
      </c>
      <c r="J178" t="s">
        <v>1046</v>
      </c>
      <c r="L178" t="s">
        <v>105</v>
      </c>
    </row>
    <row r="179" spans="1:12" x14ac:dyDescent="0.25">
      <c r="A179" t="s">
        <v>718</v>
      </c>
      <c r="B179" t="s">
        <v>719</v>
      </c>
      <c r="C179" t="s">
        <v>1044</v>
      </c>
      <c r="D179" t="s">
        <v>1062</v>
      </c>
      <c r="E179" t="s">
        <v>451</v>
      </c>
      <c r="F179" t="s">
        <v>734</v>
      </c>
      <c r="G179" t="s">
        <v>723</v>
      </c>
      <c r="H179" t="s">
        <v>1046</v>
      </c>
      <c r="I179" t="s">
        <v>742</v>
      </c>
      <c r="J179" t="s">
        <v>1046</v>
      </c>
      <c r="L179" t="s">
        <v>105</v>
      </c>
    </row>
    <row r="180" spans="1:12" x14ac:dyDescent="0.25">
      <c r="A180" t="s">
        <v>718</v>
      </c>
      <c r="B180" t="s">
        <v>719</v>
      </c>
      <c r="C180" t="s">
        <v>1044</v>
      </c>
      <c r="D180" t="s">
        <v>1063</v>
      </c>
      <c r="E180" t="s">
        <v>746</v>
      </c>
      <c r="F180" t="s">
        <v>734</v>
      </c>
      <c r="G180" t="s">
        <v>723</v>
      </c>
      <c r="H180" t="s">
        <v>1046</v>
      </c>
      <c r="I180" t="s">
        <v>747</v>
      </c>
      <c r="J180" t="s">
        <v>1046</v>
      </c>
      <c r="L180" t="s">
        <v>105</v>
      </c>
    </row>
    <row r="181" spans="1:12" x14ac:dyDescent="0.25">
      <c r="A181" t="s">
        <v>718</v>
      </c>
      <c r="B181" t="s">
        <v>719</v>
      </c>
      <c r="C181" t="s">
        <v>1044</v>
      </c>
      <c r="D181" t="s">
        <v>1064</v>
      </c>
      <c r="E181" t="s">
        <v>730</v>
      </c>
      <c r="F181" t="s">
        <v>722</v>
      </c>
      <c r="G181" t="s">
        <v>723</v>
      </c>
      <c r="H181" t="s">
        <v>1046</v>
      </c>
      <c r="I181" t="s">
        <v>749</v>
      </c>
      <c r="J181" t="s">
        <v>1046</v>
      </c>
      <c r="L181" t="s">
        <v>105</v>
      </c>
    </row>
    <row r="182" spans="1:12" x14ac:dyDescent="0.25">
      <c r="A182" t="s">
        <v>718</v>
      </c>
      <c r="B182" t="s">
        <v>719</v>
      </c>
      <c r="C182" t="s">
        <v>1044</v>
      </c>
      <c r="D182" t="s">
        <v>1065</v>
      </c>
      <c r="E182" t="s">
        <v>751</v>
      </c>
      <c r="F182" t="s">
        <v>734</v>
      </c>
      <c r="G182" t="s">
        <v>723</v>
      </c>
      <c r="H182" t="s">
        <v>1046</v>
      </c>
      <c r="I182" t="s">
        <v>1066</v>
      </c>
      <c r="J182" t="s">
        <v>1046</v>
      </c>
      <c r="L182" t="s">
        <v>105</v>
      </c>
    </row>
    <row r="183" spans="1:12" x14ac:dyDescent="0.25">
      <c r="A183" t="s">
        <v>718</v>
      </c>
      <c r="B183" t="s">
        <v>719</v>
      </c>
      <c r="C183" t="s">
        <v>1044</v>
      </c>
      <c r="D183" t="s">
        <v>1067</v>
      </c>
      <c r="E183" t="s">
        <v>90</v>
      </c>
      <c r="F183" t="s">
        <v>734</v>
      </c>
      <c r="G183" t="s">
        <v>723</v>
      </c>
      <c r="H183" t="s">
        <v>1046</v>
      </c>
      <c r="I183" t="s">
        <v>1068</v>
      </c>
      <c r="J183" t="s">
        <v>1046</v>
      </c>
      <c r="L183" t="s">
        <v>105</v>
      </c>
    </row>
    <row r="184" spans="1:12" x14ac:dyDescent="0.25">
      <c r="A184" t="s">
        <v>718</v>
      </c>
      <c r="B184" t="s">
        <v>719</v>
      </c>
      <c r="C184" t="s">
        <v>1044</v>
      </c>
      <c r="D184" t="s">
        <v>1069</v>
      </c>
      <c r="E184" t="s">
        <v>462</v>
      </c>
      <c r="F184" t="s">
        <v>722</v>
      </c>
      <c r="G184" t="s">
        <v>723</v>
      </c>
      <c r="H184" t="s">
        <v>1046</v>
      </c>
      <c r="I184" t="s">
        <v>1070</v>
      </c>
      <c r="J184" t="s">
        <v>1046</v>
      </c>
      <c r="L184" t="s">
        <v>105</v>
      </c>
    </row>
    <row r="185" spans="1:12" x14ac:dyDescent="0.25">
      <c r="A185" t="s">
        <v>718</v>
      </c>
      <c r="B185" t="s">
        <v>719</v>
      </c>
      <c r="C185" t="s">
        <v>1044</v>
      </c>
      <c r="D185" t="s">
        <v>1071</v>
      </c>
      <c r="E185" t="s">
        <v>368</v>
      </c>
      <c r="F185" t="s">
        <v>804</v>
      </c>
      <c r="G185" t="s">
        <v>723</v>
      </c>
      <c r="H185" t="s">
        <v>1046</v>
      </c>
      <c r="I185" t="s">
        <v>1072</v>
      </c>
      <c r="J185" t="s">
        <v>1046</v>
      </c>
      <c r="L185" t="s">
        <v>105</v>
      </c>
    </row>
    <row r="186" spans="1:12" x14ac:dyDescent="0.25">
      <c r="A186" t="s">
        <v>718</v>
      </c>
      <c r="B186" t="s">
        <v>719</v>
      </c>
      <c r="C186" t="s">
        <v>1044</v>
      </c>
      <c r="D186" t="s">
        <v>1073</v>
      </c>
      <c r="E186" t="s">
        <v>730</v>
      </c>
      <c r="F186" t="s">
        <v>722</v>
      </c>
      <c r="H186" t="s">
        <v>1046</v>
      </c>
      <c r="I186" t="s">
        <v>762</v>
      </c>
      <c r="J186" t="s">
        <v>1046</v>
      </c>
      <c r="L186" t="s">
        <v>105</v>
      </c>
    </row>
    <row r="187" spans="1:12" x14ac:dyDescent="0.25">
      <c r="A187" t="s">
        <v>718</v>
      </c>
      <c r="B187" t="s">
        <v>719</v>
      </c>
      <c r="C187" t="s">
        <v>1044</v>
      </c>
      <c r="D187" t="s">
        <v>1074</v>
      </c>
      <c r="E187" t="s">
        <v>733</v>
      </c>
      <c r="F187" t="s">
        <v>734</v>
      </c>
      <c r="H187" t="s">
        <v>1046</v>
      </c>
      <c r="I187" t="s">
        <v>764</v>
      </c>
      <c r="J187" t="s">
        <v>1046</v>
      </c>
      <c r="L187" t="s">
        <v>105</v>
      </c>
    </row>
    <row r="188" spans="1:12" x14ac:dyDescent="0.25">
      <c r="A188" t="s">
        <v>718</v>
      </c>
      <c r="B188" t="s">
        <v>719</v>
      </c>
      <c r="C188" t="s">
        <v>1044</v>
      </c>
      <c r="D188" t="s">
        <v>1075</v>
      </c>
      <c r="E188" t="s">
        <v>429</v>
      </c>
      <c r="F188" t="s">
        <v>722</v>
      </c>
      <c r="G188" t="s">
        <v>723</v>
      </c>
      <c r="H188" t="s">
        <v>1046</v>
      </c>
      <c r="I188" t="s">
        <v>1076</v>
      </c>
      <c r="J188" t="s">
        <v>1046</v>
      </c>
      <c r="L188" t="s">
        <v>105</v>
      </c>
    </row>
    <row r="189" spans="1:12" x14ac:dyDescent="0.25">
      <c r="A189" t="s">
        <v>718</v>
      </c>
      <c r="B189" t="s">
        <v>719</v>
      </c>
      <c r="C189" t="s">
        <v>1044</v>
      </c>
      <c r="D189" t="s">
        <v>1077</v>
      </c>
      <c r="E189" t="s">
        <v>90</v>
      </c>
      <c r="F189" t="s">
        <v>734</v>
      </c>
      <c r="G189" t="s">
        <v>723</v>
      </c>
      <c r="H189" t="s">
        <v>1046</v>
      </c>
      <c r="I189" t="s">
        <v>1078</v>
      </c>
      <c r="J189" t="s">
        <v>1046</v>
      </c>
      <c r="L189" t="s">
        <v>105</v>
      </c>
    </row>
    <row r="190" spans="1:12" x14ac:dyDescent="0.25">
      <c r="A190" t="s">
        <v>718</v>
      </c>
      <c r="B190" t="s">
        <v>719</v>
      </c>
      <c r="C190" t="s">
        <v>1044</v>
      </c>
      <c r="D190" t="s">
        <v>1079</v>
      </c>
      <c r="E190" t="s">
        <v>730</v>
      </c>
      <c r="F190" t="s">
        <v>722</v>
      </c>
      <c r="H190" t="s">
        <v>1046</v>
      </c>
      <c r="I190" t="s">
        <v>768</v>
      </c>
      <c r="J190" t="s">
        <v>1046</v>
      </c>
      <c r="L190" t="s">
        <v>105</v>
      </c>
    </row>
    <row r="191" spans="1:12" x14ac:dyDescent="0.25">
      <c r="A191" t="s">
        <v>718</v>
      </c>
      <c r="B191" t="s">
        <v>719</v>
      </c>
      <c r="C191" t="s">
        <v>1044</v>
      </c>
      <c r="D191" t="s">
        <v>1080</v>
      </c>
      <c r="E191" t="s">
        <v>759</v>
      </c>
      <c r="F191" t="s">
        <v>734</v>
      </c>
      <c r="G191" t="s">
        <v>723</v>
      </c>
      <c r="H191" t="s">
        <v>1046</v>
      </c>
      <c r="I191" t="s">
        <v>1081</v>
      </c>
      <c r="J191" t="s">
        <v>1046</v>
      </c>
      <c r="L191" t="s">
        <v>105</v>
      </c>
    </row>
    <row r="192" spans="1:12" x14ac:dyDescent="0.25">
      <c r="A192" t="s">
        <v>718</v>
      </c>
      <c r="B192" t="s">
        <v>719</v>
      </c>
      <c r="C192" t="s">
        <v>1044</v>
      </c>
      <c r="D192" t="s">
        <v>1082</v>
      </c>
      <c r="E192" t="s">
        <v>786</v>
      </c>
      <c r="F192" t="s">
        <v>734</v>
      </c>
      <c r="G192" t="s">
        <v>723</v>
      </c>
      <c r="H192" t="s">
        <v>1046</v>
      </c>
      <c r="I192" t="s">
        <v>787</v>
      </c>
      <c r="J192" t="s">
        <v>1046</v>
      </c>
      <c r="L192" t="s">
        <v>105</v>
      </c>
    </row>
    <row r="193" spans="1:12" x14ac:dyDescent="0.25">
      <c r="A193" t="s">
        <v>718</v>
      </c>
      <c r="B193" t="s">
        <v>719</v>
      </c>
      <c r="C193" t="s">
        <v>1044</v>
      </c>
      <c r="D193" t="s">
        <v>1083</v>
      </c>
      <c r="E193" t="s">
        <v>368</v>
      </c>
      <c r="F193" t="s">
        <v>722</v>
      </c>
      <c r="G193" t="s">
        <v>723</v>
      </c>
      <c r="H193" t="s">
        <v>1046</v>
      </c>
      <c r="I193" t="s">
        <v>1084</v>
      </c>
      <c r="J193" t="s">
        <v>1046</v>
      </c>
      <c r="L193" t="s">
        <v>105</v>
      </c>
    </row>
    <row r="194" spans="1:12" x14ac:dyDescent="0.25">
      <c r="A194" t="s">
        <v>718</v>
      </c>
      <c r="B194" t="s">
        <v>719</v>
      </c>
      <c r="C194" t="s">
        <v>1085</v>
      </c>
      <c r="D194" t="s">
        <v>1086</v>
      </c>
      <c r="E194" t="s">
        <v>850</v>
      </c>
      <c r="F194" t="s">
        <v>734</v>
      </c>
      <c r="G194" t="s">
        <v>723</v>
      </c>
      <c r="H194" t="s">
        <v>1087</v>
      </c>
      <c r="I194" t="s">
        <v>1088</v>
      </c>
      <c r="J194" t="s">
        <v>1087</v>
      </c>
      <c r="L194" t="s">
        <v>105</v>
      </c>
    </row>
    <row r="195" spans="1:12" x14ac:dyDescent="0.25">
      <c r="A195" t="s">
        <v>718</v>
      </c>
      <c r="B195" t="s">
        <v>719</v>
      </c>
      <c r="C195" t="s">
        <v>1085</v>
      </c>
      <c r="D195" t="s">
        <v>127</v>
      </c>
      <c r="E195" t="s">
        <v>378</v>
      </c>
      <c r="F195" t="s">
        <v>722</v>
      </c>
      <c r="H195" t="s">
        <v>309</v>
      </c>
      <c r="I195" t="s">
        <v>1089</v>
      </c>
      <c r="J195" t="s">
        <v>1087</v>
      </c>
      <c r="K195" t="s">
        <v>127</v>
      </c>
      <c r="L195" t="s">
        <v>100</v>
      </c>
    </row>
    <row r="196" spans="1:12" x14ac:dyDescent="0.25">
      <c r="A196" t="s">
        <v>718</v>
      </c>
      <c r="B196" t="s">
        <v>719</v>
      </c>
      <c r="C196" t="s">
        <v>1085</v>
      </c>
      <c r="D196" t="s">
        <v>327</v>
      </c>
      <c r="E196" t="s">
        <v>328</v>
      </c>
      <c r="F196" t="s">
        <v>734</v>
      </c>
      <c r="H196" t="s">
        <v>309</v>
      </c>
      <c r="I196" t="s">
        <v>1090</v>
      </c>
      <c r="J196" t="s">
        <v>1087</v>
      </c>
      <c r="K196" t="s">
        <v>138</v>
      </c>
      <c r="L196" t="s">
        <v>100</v>
      </c>
    </row>
    <row r="197" spans="1:12" x14ac:dyDescent="0.25">
      <c r="A197" t="s">
        <v>718</v>
      </c>
      <c r="B197" t="s">
        <v>719</v>
      </c>
      <c r="C197" t="s">
        <v>1085</v>
      </c>
      <c r="D197" t="s">
        <v>1091</v>
      </c>
      <c r="E197" t="s">
        <v>462</v>
      </c>
      <c r="F197" t="s">
        <v>722</v>
      </c>
      <c r="G197" t="s">
        <v>723</v>
      </c>
      <c r="H197" t="s">
        <v>1087</v>
      </c>
      <c r="I197" t="s">
        <v>1092</v>
      </c>
      <c r="J197" t="s">
        <v>1087</v>
      </c>
      <c r="L197" t="s">
        <v>105</v>
      </c>
    </row>
    <row r="198" spans="1:12" x14ac:dyDescent="0.25">
      <c r="A198" t="s">
        <v>718</v>
      </c>
      <c r="B198" t="s">
        <v>719</v>
      </c>
      <c r="C198" t="s">
        <v>1085</v>
      </c>
      <c r="D198" t="s">
        <v>1093</v>
      </c>
      <c r="E198" t="s">
        <v>730</v>
      </c>
      <c r="F198" t="s">
        <v>722</v>
      </c>
      <c r="H198" t="s">
        <v>1087</v>
      </c>
      <c r="I198" t="s">
        <v>762</v>
      </c>
      <c r="J198" t="s">
        <v>1087</v>
      </c>
      <c r="L198" t="s">
        <v>105</v>
      </c>
    </row>
    <row r="199" spans="1:12" x14ac:dyDescent="0.25">
      <c r="A199" t="s">
        <v>718</v>
      </c>
      <c r="B199" t="s">
        <v>719</v>
      </c>
      <c r="C199" t="s">
        <v>1085</v>
      </c>
      <c r="D199" t="s">
        <v>1094</v>
      </c>
      <c r="E199" t="s">
        <v>733</v>
      </c>
      <c r="F199" t="s">
        <v>734</v>
      </c>
      <c r="H199" t="s">
        <v>1087</v>
      </c>
      <c r="I199" t="s">
        <v>764</v>
      </c>
      <c r="J199" t="s">
        <v>1087</v>
      </c>
      <c r="L199" t="s">
        <v>105</v>
      </c>
    </row>
    <row r="200" spans="1:12" x14ac:dyDescent="0.25">
      <c r="A200" t="s">
        <v>718</v>
      </c>
      <c r="B200" t="s">
        <v>719</v>
      </c>
      <c r="C200" t="s">
        <v>1085</v>
      </c>
      <c r="D200" t="s">
        <v>362</v>
      </c>
      <c r="E200" t="s">
        <v>363</v>
      </c>
      <c r="F200" t="s">
        <v>804</v>
      </c>
      <c r="H200" t="s">
        <v>309</v>
      </c>
      <c r="I200" t="s">
        <v>1095</v>
      </c>
      <c r="J200" t="s">
        <v>1087</v>
      </c>
      <c r="K200" t="s">
        <v>145</v>
      </c>
      <c r="L200" t="s">
        <v>100</v>
      </c>
    </row>
    <row r="201" spans="1:12" x14ac:dyDescent="0.25">
      <c r="A201" t="s">
        <v>718</v>
      </c>
      <c r="B201" t="s">
        <v>719</v>
      </c>
      <c r="C201" t="s">
        <v>1085</v>
      </c>
      <c r="D201" t="s">
        <v>1096</v>
      </c>
      <c r="E201" t="s">
        <v>730</v>
      </c>
      <c r="F201" t="s">
        <v>722</v>
      </c>
      <c r="H201" t="s">
        <v>1087</v>
      </c>
      <c r="I201" t="s">
        <v>768</v>
      </c>
      <c r="J201" t="s">
        <v>1087</v>
      </c>
      <c r="L201" t="s">
        <v>105</v>
      </c>
    </row>
    <row r="202" spans="1:12" x14ac:dyDescent="0.25">
      <c r="A202" t="s">
        <v>718</v>
      </c>
      <c r="B202" t="s">
        <v>719</v>
      </c>
      <c r="C202" t="s">
        <v>1085</v>
      </c>
      <c r="D202" t="s">
        <v>1097</v>
      </c>
      <c r="E202" t="s">
        <v>850</v>
      </c>
      <c r="F202" t="s">
        <v>734</v>
      </c>
      <c r="G202" t="s">
        <v>723</v>
      </c>
      <c r="H202" t="s">
        <v>1087</v>
      </c>
      <c r="I202" t="s">
        <v>1098</v>
      </c>
      <c r="J202" t="s">
        <v>1087</v>
      </c>
      <c r="L202" t="s">
        <v>105</v>
      </c>
    </row>
    <row r="203" spans="1:12" x14ac:dyDescent="0.25">
      <c r="A203" t="s">
        <v>718</v>
      </c>
      <c r="B203" t="s">
        <v>719</v>
      </c>
      <c r="C203" t="s">
        <v>1085</v>
      </c>
      <c r="D203" t="s">
        <v>1099</v>
      </c>
      <c r="E203" t="s">
        <v>462</v>
      </c>
      <c r="F203" t="s">
        <v>722</v>
      </c>
      <c r="G203" t="s">
        <v>723</v>
      </c>
      <c r="H203" t="s">
        <v>1087</v>
      </c>
      <c r="I203" t="s">
        <v>1100</v>
      </c>
      <c r="J203" t="s">
        <v>1087</v>
      </c>
      <c r="L203" t="s">
        <v>105</v>
      </c>
    </row>
    <row r="204" spans="1:12" x14ac:dyDescent="0.25">
      <c r="A204" t="s">
        <v>718</v>
      </c>
      <c r="B204" t="s">
        <v>719</v>
      </c>
      <c r="C204" t="s">
        <v>1085</v>
      </c>
      <c r="D204" t="s">
        <v>1101</v>
      </c>
      <c r="E204" t="s">
        <v>988</v>
      </c>
      <c r="F204" t="s">
        <v>734</v>
      </c>
      <c r="G204" t="s">
        <v>723</v>
      </c>
      <c r="H204" t="s">
        <v>1087</v>
      </c>
      <c r="I204" t="s">
        <v>1102</v>
      </c>
      <c r="J204" t="s">
        <v>1087</v>
      </c>
      <c r="L204" t="s">
        <v>105</v>
      </c>
    </row>
    <row r="205" spans="1:12" x14ac:dyDescent="0.25">
      <c r="A205" t="s">
        <v>718</v>
      </c>
      <c r="B205" t="s">
        <v>719</v>
      </c>
      <c r="C205" t="s">
        <v>1085</v>
      </c>
      <c r="D205" t="s">
        <v>1103</v>
      </c>
      <c r="E205" t="s">
        <v>730</v>
      </c>
      <c r="F205" t="s">
        <v>722</v>
      </c>
      <c r="H205" t="s">
        <v>1087</v>
      </c>
      <c r="I205" t="s">
        <v>762</v>
      </c>
      <c r="J205" t="s">
        <v>1087</v>
      </c>
      <c r="L205" t="s">
        <v>105</v>
      </c>
    </row>
    <row r="206" spans="1:12" x14ac:dyDescent="0.25">
      <c r="A206" t="s">
        <v>718</v>
      </c>
      <c r="B206" t="s">
        <v>719</v>
      </c>
      <c r="C206" t="s">
        <v>1085</v>
      </c>
      <c r="D206" t="s">
        <v>1104</v>
      </c>
      <c r="E206" t="s">
        <v>451</v>
      </c>
      <c r="F206" t="s">
        <v>734</v>
      </c>
      <c r="G206" t="s">
        <v>723</v>
      </c>
      <c r="H206" t="s">
        <v>1087</v>
      </c>
      <c r="I206" t="s">
        <v>1105</v>
      </c>
      <c r="J206" t="s">
        <v>1087</v>
      </c>
      <c r="L206" t="s">
        <v>105</v>
      </c>
    </row>
    <row r="207" spans="1:12" x14ac:dyDescent="0.25">
      <c r="A207" t="s">
        <v>718</v>
      </c>
      <c r="B207" t="s">
        <v>719</v>
      </c>
      <c r="C207" t="s">
        <v>1085</v>
      </c>
      <c r="D207" t="s">
        <v>1106</v>
      </c>
      <c r="E207" t="s">
        <v>733</v>
      </c>
      <c r="F207" t="s">
        <v>734</v>
      </c>
      <c r="H207" t="s">
        <v>1087</v>
      </c>
      <c r="I207" t="s">
        <v>764</v>
      </c>
      <c r="J207" t="s">
        <v>1087</v>
      </c>
      <c r="L207" t="s">
        <v>105</v>
      </c>
    </row>
    <row r="208" spans="1:12" x14ac:dyDescent="0.25">
      <c r="A208" t="s">
        <v>718</v>
      </c>
      <c r="B208" t="s">
        <v>719</v>
      </c>
      <c r="C208" t="s">
        <v>1085</v>
      </c>
      <c r="D208" t="s">
        <v>1107</v>
      </c>
      <c r="E208" t="s">
        <v>730</v>
      </c>
      <c r="F208" t="s">
        <v>722</v>
      </c>
      <c r="H208" t="s">
        <v>1087</v>
      </c>
      <c r="I208" t="s">
        <v>768</v>
      </c>
      <c r="J208" t="s">
        <v>1087</v>
      </c>
      <c r="L208" t="s">
        <v>105</v>
      </c>
    </row>
    <row r="209" spans="1:12" x14ac:dyDescent="0.25">
      <c r="A209" t="s">
        <v>718</v>
      </c>
      <c r="B209" t="s">
        <v>719</v>
      </c>
      <c r="C209" t="s">
        <v>1085</v>
      </c>
      <c r="D209" t="s">
        <v>1108</v>
      </c>
      <c r="E209" t="s">
        <v>1109</v>
      </c>
      <c r="F209" t="s">
        <v>734</v>
      </c>
      <c r="G209" t="s">
        <v>723</v>
      </c>
      <c r="H209" t="s">
        <v>1087</v>
      </c>
      <c r="I209" t="s">
        <v>1110</v>
      </c>
      <c r="J209" t="s">
        <v>1087</v>
      </c>
      <c r="L209" t="s">
        <v>105</v>
      </c>
    </row>
    <row r="210" spans="1:12" x14ac:dyDescent="0.25">
      <c r="A210" t="s">
        <v>718</v>
      </c>
      <c r="B210" t="s">
        <v>719</v>
      </c>
      <c r="C210" t="s">
        <v>1085</v>
      </c>
      <c r="D210" t="s">
        <v>1111</v>
      </c>
      <c r="E210" t="s">
        <v>90</v>
      </c>
      <c r="F210" t="s">
        <v>734</v>
      </c>
      <c r="G210" t="s">
        <v>723</v>
      </c>
      <c r="H210" t="s">
        <v>1087</v>
      </c>
      <c r="I210" t="s">
        <v>1112</v>
      </c>
      <c r="J210" t="s">
        <v>1087</v>
      </c>
      <c r="L210" t="s">
        <v>105</v>
      </c>
    </row>
    <row r="211" spans="1:12" x14ac:dyDescent="0.25">
      <c r="A211" t="s">
        <v>718</v>
      </c>
      <c r="B211" t="s">
        <v>719</v>
      </c>
      <c r="C211" t="s">
        <v>1085</v>
      </c>
      <c r="D211" t="s">
        <v>1113</v>
      </c>
      <c r="E211" t="s">
        <v>759</v>
      </c>
      <c r="F211" t="s">
        <v>734</v>
      </c>
      <c r="G211" t="s">
        <v>723</v>
      </c>
      <c r="H211" t="s">
        <v>1087</v>
      </c>
      <c r="I211" t="s">
        <v>1114</v>
      </c>
      <c r="J211" t="s">
        <v>1087</v>
      </c>
      <c r="L211" t="s">
        <v>105</v>
      </c>
    </row>
    <row r="212" spans="1:12" x14ac:dyDescent="0.25">
      <c r="A212" t="s">
        <v>718</v>
      </c>
      <c r="B212" t="s">
        <v>719</v>
      </c>
      <c r="C212" t="s">
        <v>1085</v>
      </c>
      <c r="D212" t="s">
        <v>1115</v>
      </c>
      <c r="E212" t="s">
        <v>368</v>
      </c>
      <c r="F212" t="s">
        <v>722</v>
      </c>
      <c r="G212" t="s">
        <v>723</v>
      </c>
      <c r="H212" t="s">
        <v>1087</v>
      </c>
      <c r="I212" t="s">
        <v>1116</v>
      </c>
      <c r="J212" t="s">
        <v>1087</v>
      </c>
      <c r="L212" t="s">
        <v>105</v>
      </c>
    </row>
    <row r="213" spans="1:12" x14ac:dyDescent="0.25">
      <c r="A213" t="s">
        <v>718</v>
      </c>
      <c r="B213" t="s">
        <v>719</v>
      </c>
      <c r="C213" t="s">
        <v>1085</v>
      </c>
      <c r="D213" t="s">
        <v>1117</v>
      </c>
      <c r="E213" t="s">
        <v>783</v>
      </c>
      <c r="F213" t="s">
        <v>722</v>
      </c>
      <c r="G213" t="s">
        <v>723</v>
      </c>
      <c r="H213" t="s">
        <v>1087</v>
      </c>
      <c r="I213" t="s">
        <v>1118</v>
      </c>
      <c r="J213" t="s">
        <v>1087</v>
      </c>
      <c r="L213" t="s">
        <v>105</v>
      </c>
    </row>
    <row r="214" spans="1:12" x14ac:dyDescent="0.25">
      <c r="A214" t="s">
        <v>718</v>
      </c>
      <c r="B214" t="s">
        <v>719</v>
      </c>
      <c r="C214" t="s">
        <v>1085</v>
      </c>
      <c r="D214" t="s">
        <v>1119</v>
      </c>
      <c r="E214" t="s">
        <v>727</v>
      </c>
      <c r="F214" t="s">
        <v>722</v>
      </c>
      <c r="G214" t="s">
        <v>723</v>
      </c>
      <c r="H214" t="s">
        <v>1087</v>
      </c>
      <c r="I214" t="s">
        <v>728</v>
      </c>
      <c r="J214" t="s">
        <v>1087</v>
      </c>
      <c r="L214" t="s">
        <v>105</v>
      </c>
    </row>
    <row r="215" spans="1:12" x14ac:dyDescent="0.25">
      <c r="A215" t="s">
        <v>718</v>
      </c>
      <c r="B215" t="s">
        <v>719</v>
      </c>
      <c r="C215" t="s">
        <v>1085</v>
      </c>
      <c r="D215" t="s">
        <v>332</v>
      </c>
      <c r="E215" t="s">
        <v>333</v>
      </c>
      <c r="F215" t="s">
        <v>734</v>
      </c>
      <c r="H215" t="s">
        <v>309</v>
      </c>
      <c r="I215" t="s">
        <v>1120</v>
      </c>
      <c r="J215" t="s">
        <v>1087</v>
      </c>
      <c r="K215" t="s">
        <v>140</v>
      </c>
      <c r="L215" t="s">
        <v>100</v>
      </c>
    </row>
    <row r="216" spans="1:12" x14ac:dyDescent="0.25">
      <c r="A216" t="s">
        <v>718</v>
      </c>
      <c r="B216" t="s">
        <v>719</v>
      </c>
      <c r="C216" t="s">
        <v>1085</v>
      </c>
      <c r="D216" t="s">
        <v>1121</v>
      </c>
      <c r="E216" t="s">
        <v>730</v>
      </c>
      <c r="F216" t="s">
        <v>722</v>
      </c>
      <c r="G216" t="s">
        <v>723</v>
      </c>
      <c r="H216" t="s">
        <v>1087</v>
      </c>
      <c r="I216" t="s">
        <v>731</v>
      </c>
      <c r="J216" t="s">
        <v>1087</v>
      </c>
      <c r="L216" t="s">
        <v>105</v>
      </c>
    </row>
    <row r="217" spans="1:12" x14ac:dyDescent="0.25">
      <c r="A217" t="s">
        <v>718</v>
      </c>
      <c r="B217" t="s">
        <v>719</v>
      </c>
      <c r="C217" t="s">
        <v>1085</v>
      </c>
      <c r="D217" t="s">
        <v>1122</v>
      </c>
      <c r="E217" t="s">
        <v>451</v>
      </c>
      <c r="F217" t="s">
        <v>734</v>
      </c>
      <c r="G217" t="s">
        <v>723</v>
      </c>
      <c r="H217" t="s">
        <v>1087</v>
      </c>
      <c r="I217" t="s">
        <v>1123</v>
      </c>
      <c r="J217" t="s">
        <v>1087</v>
      </c>
      <c r="L217" t="s">
        <v>105</v>
      </c>
    </row>
    <row r="218" spans="1:12" x14ac:dyDescent="0.25">
      <c r="A218" t="s">
        <v>718</v>
      </c>
      <c r="B218" t="s">
        <v>719</v>
      </c>
      <c r="C218" t="s">
        <v>1085</v>
      </c>
      <c r="D218" t="s">
        <v>1124</v>
      </c>
      <c r="E218" t="s">
        <v>90</v>
      </c>
      <c r="F218" t="s">
        <v>722</v>
      </c>
      <c r="G218" t="s">
        <v>723</v>
      </c>
      <c r="H218" t="s">
        <v>1087</v>
      </c>
      <c r="I218" t="s">
        <v>1125</v>
      </c>
      <c r="J218" t="s">
        <v>1087</v>
      </c>
      <c r="L218" t="s">
        <v>105</v>
      </c>
    </row>
    <row r="219" spans="1:12" x14ac:dyDescent="0.25">
      <c r="A219" t="s">
        <v>718</v>
      </c>
      <c r="B219" t="s">
        <v>719</v>
      </c>
      <c r="C219" t="s">
        <v>1085</v>
      </c>
      <c r="D219" t="s">
        <v>1126</v>
      </c>
      <c r="E219" t="s">
        <v>733</v>
      </c>
      <c r="F219" t="s">
        <v>734</v>
      </c>
      <c r="G219" t="s">
        <v>723</v>
      </c>
      <c r="H219" t="s">
        <v>1087</v>
      </c>
      <c r="I219" t="s">
        <v>735</v>
      </c>
      <c r="J219" t="s">
        <v>1087</v>
      </c>
      <c r="L219" t="s">
        <v>105</v>
      </c>
    </row>
    <row r="220" spans="1:12" x14ac:dyDescent="0.25">
      <c r="A220" t="s">
        <v>718</v>
      </c>
      <c r="B220" t="s">
        <v>719</v>
      </c>
      <c r="C220" t="s">
        <v>1085</v>
      </c>
      <c r="D220" t="s">
        <v>490</v>
      </c>
      <c r="E220" t="s">
        <v>429</v>
      </c>
      <c r="F220" t="s">
        <v>722</v>
      </c>
      <c r="G220" t="s">
        <v>723</v>
      </c>
      <c r="H220" t="s">
        <v>1087</v>
      </c>
      <c r="I220" t="s">
        <v>1127</v>
      </c>
      <c r="J220" t="s">
        <v>1087</v>
      </c>
      <c r="L220" t="s">
        <v>105</v>
      </c>
    </row>
    <row r="221" spans="1:12" x14ac:dyDescent="0.25">
      <c r="A221" t="s">
        <v>718</v>
      </c>
      <c r="B221" t="s">
        <v>719</v>
      </c>
      <c r="C221" t="s">
        <v>1085</v>
      </c>
      <c r="D221" t="s">
        <v>1128</v>
      </c>
      <c r="E221" t="s">
        <v>739</v>
      </c>
      <c r="F221" t="s">
        <v>734</v>
      </c>
      <c r="G221" t="s">
        <v>723</v>
      </c>
      <c r="H221" t="s">
        <v>1087</v>
      </c>
      <c r="I221" t="s">
        <v>740</v>
      </c>
      <c r="J221" t="s">
        <v>1087</v>
      </c>
      <c r="L221" t="s">
        <v>105</v>
      </c>
    </row>
    <row r="222" spans="1:12" x14ac:dyDescent="0.25">
      <c r="A222" t="s">
        <v>718</v>
      </c>
      <c r="B222" t="s">
        <v>719</v>
      </c>
      <c r="C222" t="s">
        <v>1085</v>
      </c>
      <c r="D222" t="s">
        <v>145</v>
      </c>
      <c r="E222" t="s">
        <v>451</v>
      </c>
      <c r="F222" t="s">
        <v>734</v>
      </c>
      <c r="G222" t="s">
        <v>723</v>
      </c>
      <c r="H222" t="s">
        <v>1087</v>
      </c>
      <c r="I222" t="s">
        <v>742</v>
      </c>
      <c r="J222" t="s">
        <v>1087</v>
      </c>
      <c r="L222" t="s">
        <v>105</v>
      </c>
    </row>
    <row r="223" spans="1:12" x14ac:dyDescent="0.25">
      <c r="A223" t="s">
        <v>718</v>
      </c>
      <c r="B223" t="s">
        <v>719</v>
      </c>
      <c r="C223" t="s">
        <v>1085</v>
      </c>
      <c r="D223" t="s">
        <v>1129</v>
      </c>
      <c r="E223" t="s">
        <v>462</v>
      </c>
      <c r="F223" t="s">
        <v>722</v>
      </c>
      <c r="G223" t="s">
        <v>723</v>
      </c>
      <c r="H223" t="s">
        <v>1087</v>
      </c>
      <c r="I223" t="s">
        <v>1130</v>
      </c>
      <c r="J223" t="s">
        <v>1087</v>
      </c>
      <c r="L223" t="s">
        <v>105</v>
      </c>
    </row>
    <row r="224" spans="1:12" x14ac:dyDescent="0.25">
      <c r="A224" t="s">
        <v>718</v>
      </c>
      <c r="B224" t="s">
        <v>719</v>
      </c>
      <c r="C224" t="s">
        <v>1085</v>
      </c>
      <c r="D224" t="s">
        <v>1131</v>
      </c>
      <c r="E224" t="s">
        <v>730</v>
      </c>
      <c r="F224" t="s">
        <v>722</v>
      </c>
      <c r="H224" t="s">
        <v>1087</v>
      </c>
      <c r="I224" t="s">
        <v>762</v>
      </c>
      <c r="J224" t="s">
        <v>1087</v>
      </c>
      <c r="L224" t="s">
        <v>105</v>
      </c>
    </row>
    <row r="225" spans="1:12" x14ac:dyDescent="0.25">
      <c r="A225" t="s">
        <v>718</v>
      </c>
      <c r="B225" t="s">
        <v>719</v>
      </c>
      <c r="C225" t="s">
        <v>1085</v>
      </c>
      <c r="D225" t="s">
        <v>1132</v>
      </c>
      <c r="E225" t="s">
        <v>733</v>
      </c>
      <c r="F225" t="s">
        <v>734</v>
      </c>
      <c r="H225" t="s">
        <v>1087</v>
      </c>
      <c r="I225" t="s">
        <v>764</v>
      </c>
      <c r="J225" t="s">
        <v>1087</v>
      </c>
      <c r="L225" t="s">
        <v>105</v>
      </c>
    </row>
    <row r="226" spans="1:12" x14ac:dyDescent="0.25">
      <c r="A226" t="s">
        <v>718</v>
      </c>
      <c r="B226" t="s">
        <v>719</v>
      </c>
      <c r="C226" t="s">
        <v>1085</v>
      </c>
      <c r="D226" t="s">
        <v>1133</v>
      </c>
      <c r="E226" t="s">
        <v>730</v>
      </c>
      <c r="F226" t="s">
        <v>722</v>
      </c>
      <c r="H226" t="s">
        <v>1087</v>
      </c>
      <c r="I226" t="s">
        <v>768</v>
      </c>
      <c r="J226" t="s">
        <v>1087</v>
      </c>
      <c r="L226" t="s">
        <v>105</v>
      </c>
    </row>
    <row r="227" spans="1:12" x14ac:dyDescent="0.25">
      <c r="A227" t="s">
        <v>718</v>
      </c>
      <c r="B227" t="s">
        <v>719</v>
      </c>
      <c r="C227" t="s">
        <v>1085</v>
      </c>
      <c r="D227" t="s">
        <v>1134</v>
      </c>
      <c r="E227" t="s">
        <v>90</v>
      </c>
      <c r="F227" t="s">
        <v>804</v>
      </c>
      <c r="G227" t="s">
        <v>723</v>
      </c>
      <c r="H227" t="s">
        <v>1087</v>
      </c>
      <c r="I227" t="s">
        <v>1130</v>
      </c>
      <c r="J227" t="s">
        <v>1087</v>
      </c>
      <c r="L227" t="s">
        <v>105</v>
      </c>
    </row>
    <row r="228" spans="1:12" x14ac:dyDescent="0.25">
      <c r="A228" t="s">
        <v>718</v>
      </c>
      <c r="B228" t="s">
        <v>719</v>
      </c>
      <c r="C228" t="s">
        <v>1085</v>
      </c>
      <c r="D228" t="s">
        <v>1135</v>
      </c>
      <c r="E228" t="s">
        <v>451</v>
      </c>
      <c r="F228" t="s">
        <v>804</v>
      </c>
      <c r="G228" t="s">
        <v>723</v>
      </c>
      <c r="H228" t="s">
        <v>1087</v>
      </c>
      <c r="I228" t="s">
        <v>1136</v>
      </c>
      <c r="J228" t="s">
        <v>1087</v>
      </c>
      <c r="L228" t="s">
        <v>105</v>
      </c>
    </row>
    <row r="229" spans="1:12" x14ac:dyDescent="0.25">
      <c r="A229" t="s">
        <v>718</v>
      </c>
      <c r="B229" t="s">
        <v>719</v>
      </c>
      <c r="C229" t="s">
        <v>1085</v>
      </c>
      <c r="D229" t="s">
        <v>1137</v>
      </c>
      <c r="E229" t="s">
        <v>90</v>
      </c>
      <c r="F229" t="s">
        <v>734</v>
      </c>
      <c r="G229" t="s">
        <v>723</v>
      </c>
      <c r="H229" t="s">
        <v>1087</v>
      </c>
      <c r="I229" t="s">
        <v>1138</v>
      </c>
      <c r="J229" t="s">
        <v>1087</v>
      </c>
      <c r="L229" t="s">
        <v>105</v>
      </c>
    </row>
    <row r="230" spans="1:12" x14ac:dyDescent="0.25">
      <c r="A230" t="s">
        <v>718</v>
      </c>
      <c r="B230" t="s">
        <v>719</v>
      </c>
      <c r="C230" t="s">
        <v>1085</v>
      </c>
      <c r="D230" t="s">
        <v>367</v>
      </c>
      <c r="E230" t="s">
        <v>368</v>
      </c>
      <c r="F230" t="s">
        <v>734</v>
      </c>
      <c r="H230" t="s">
        <v>309</v>
      </c>
      <c r="I230" t="s">
        <v>1139</v>
      </c>
      <c r="J230" t="s">
        <v>1087</v>
      </c>
      <c r="K230" t="s">
        <v>146</v>
      </c>
      <c r="L230" t="s">
        <v>100</v>
      </c>
    </row>
    <row r="231" spans="1:12" x14ac:dyDescent="0.25">
      <c r="A231" t="s">
        <v>718</v>
      </c>
      <c r="B231" t="s">
        <v>719</v>
      </c>
      <c r="C231" t="s">
        <v>1085</v>
      </c>
      <c r="D231" t="s">
        <v>1140</v>
      </c>
      <c r="E231" t="s">
        <v>746</v>
      </c>
      <c r="F231" t="s">
        <v>734</v>
      </c>
      <c r="G231" t="s">
        <v>723</v>
      </c>
      <c r="H231" t="s">
        <v>1087</v>
      </c>
      <c r="I231" t="s">
        <v>747</v>
      </c>
      <c r="J231" t="s">
        <v>1087</v>
      </c>
      <c r="L231" t="s">
        <v>105</v>
      </c>
    </row>
    <row r="232" spans="1:12" x14ac:dyDescent="0.25">
      <c r="A232" t="s">
        <v>718</v>
      </c>
      <c r="B232" t="s">
        <v>719</v>
      </c>
      <c r="C232" t="s">
        <v>1085</v>
      </c>
      <c r="D232" t="s">
        <v>1141</v>
      </c>
      <c r="E232" t="s">
        <v>730</v>
      </c>
      <c r="F232" t="s">
        <v>722</v>
      </c>
      <c r="G232" t="s">
        <v>723</v>
      </c>
      <c r="H232" t="s">
        <v>1087</v>
      </c>
      <c r="I232" t="s">
        <v>749</v>
      </c>
      <c r="J232" t="s">
        <v>1087</v>
      </c>
      <c r="L232" t="s">
        <v>105</v>
      </c>
    </row>
    <row r="233" spans="1:12" x14ac:dyDescent="0.25">
      <c r="A233" t="s">
        <v>718</v>
      </c>
      <c r="B233" t="s">
        <v>719</v>
      </c>
      <c r="C233" t="s">
        <v>1085</v>
      </c>
      <c r="D233" t="s">
        <v>1142</v>
      </c>
      <c r="E233" t="s">
        <v>850</v>
      </c>
      <c r="F233" t="s">
        <v>734</v>
      </c>
      <c r="G233" t="s">
        <v>723</v>
      </c>
      <c r="H233" t="s">
        <v>1087</v>
      </c>
      <c r="I233" t="s">
        <v>1143</v>
      </c>
      <c r="J233" t="s">
        <v>1087</v>
      </c>
      <c r="L233" t="s">
        <v>105</v>
      </c>
    </row>
    <row r="234" spans="1:12" x14ac:dyDescent="0.25">
      <c r="A234" t="s">
        <v>718</v>
      </c>
      <c r="B234" t="s">
        <v>719</v>
      </c>
      <c r="C234" t="s">
        <v>1085</v>
      </c>
      <c r="D234" t="s">
        <v>1144</v>
      </c>
      <c r="E234" t="s">
        <v>1109</v>
      </c>
      <c r="F234" t="s">
        <v>722</v>
      </c>
      <c r="G234" t="s">
        <v>723</v>
      </c>
      <c r="H234" t="s">
        <v>1087</v>
      </c>
      <c r="I234" t="s">
        <v>1145</v>
      </c>
      <c r="J234" t="s">
        <v>1087</v>
      </c>
      <c r="L234" t="s">
        <v>105</v>
      </c>
    </row>
    <row r="235" spans="1:12" x14ac:dyDescent="0.25">
      <c r="A235" t="s">
        <v>718</v>
      </c>
      <c r="B235" t="s">
        <v>719</v>
      </c>
      <c r="C235" t="s">
        <v>1085</v>
      </c>
      <c r="D235" t="s">
        <v>1146</v>
      </c>
      <c r="E235" t="s">
        <v>971</v>
      </c>
      <c r="F235" t="s">
        <v>722</v>
      </c>
      <c r="G235" t="s">
        <v>723</v>
      </c>
      <c r="H235" t="s">
        <v>1087</v>
      </c>
      <c r="I235" t="s">
        <v>1147</v>
      </c>
      <c r="J235" t="s">
        <v>1087</v>
      </c>
      <c r="L235" t="s">
        <v>105</v>
      </c>
    </row>
    <row r="236" spans="1:12" x14ac:dyDescent="0.25">
      <c r="A236" t="s">
        <v>718</v>
      </c>
      <c r="B236" t="s">
        <v>719</v>
      </c>
      <c r="C236" t="s">
        <v>1085</v>
      </c>
      <c r="D236" t="s">
        <v>1148</v>
      </c>
      <c r="E236" t="s">
        <v>783</v>
      </c>
      <c r="F236" t="s">
        <v>722</v>
      </c>
      <c r="G236" t="s">
        <v>723</v>
      </c>
      <c r="H236" t="s">
        <v>1087</v>
      </c>
      <c r="I236" t="s">
        <v>1149</v>
      </c>
      <c r="J236" t="s">
        <v>1087</v>
      </c>
      <c r="L236" t="s">
        <v>105</v>
      </c>
    </row>
    <row r="237" spans="1:12" x14ac:dyDescent="0.25">
      <c r="A237" t="s">
        <v>718</v>
      </c>
      <c r="B237" t="s">
        <v>719</v>
      </c>
      <c r="C237" t="s">
        <v>1085</v>
      </c>
      <c r="D237" t="s">
        <v>1150</v>
      </c>
      <c r="E237" t="s">
        <v>786</v>
      </c>
      <c r="F237" t="s">
        <v>734</v>
      </c>
      <c r="G237" t="s">
        <v>723</v>
      </c>
      <c r="H237" t="s">
        <v>1087</v>
      </c>
      <c r="I237" t="s">
        <v>787</v>
      </c>
      <c r="J237" t="s">
        <v>1087</v>
      </c>
      <c r="L237" t="s">
        <v>105</v>
      </c>
    </row>
    <row r="238" spans="1:12" x14ac:dyDescent="0.25">
      <c r="A238" t="s">
        <v>718</v>
      </c>
      <c r="B238" t="s">
        <v>719</v>
      </c>
      <c r="C238" t="s">
        <v>1151</v>
      </c>
      <c r="D238" t="s">
        <v>1152</v>
      </c>
      <c r="E238" t="s">
        <v>850</v>
      </c>
      <c r="F238" t="s">
        <v>734</v>
      </c>
      <c r="G238" t="s">
        <v>723</v>
      </c>
      <c r="H238" t="s">
        <v>1153</v>
      </c>
      <c r="I238" t="s">
        <v>1154</v>
      </c>
      <c r="J238" t="s">
        <v>1153</v>
      </c>
      <c r="L238" t="s">
        <v>105</v>
      </c>
    </row>
    <row r="239" spans="1:12" x14ac:dyDescent="0.25">
      <c r="A239" t="s">
        <v>718</v>
      </c>
      <c r="B239" t="s">
        <v>719</v>
      </c>
      <c r="C239" t="s">
        <v>1151</v>
      </c>
      <c r="D239" t="s">
        <v>1155</v>
      </c>
      <c r="E239" t="s">
        <v>988</v>
      </c>
      <c r="F239" t="s">
        <v>722</v>
      </c>
      <c r="G239" t="s">
        <v>723</v>
      </c>
      <c r="H239" t="s">
        <v>1153</v>
      </c>
      <c r="I239" t="s">
        <v>1156</v>
      </c>
      <c r="J239" t="s">
        <v>1153</v>
      </c>
      <c r="L239" t="s">
        <v>105</v>
      </c>
    </row>
    <row r="240" spans="1:12" x14ac:dyDescent="0.25">
      <c r="A240" t="s">
        <v>718</v>
      </c>
      <c r="B240" t="s">
        <v>719</v>
      </c>
      <c r="C240" t="s">
        <v>1151</v>
      </c>
      <c r="D240" t="s">
        <v>1157</v>
      </c>
      <c r="E240" t="s">
        <v>328</v>
      </c>
      <c r="F240" t="s">
        <v>734</v>
      </c>
      <c r="G240" t="s">
        <v>723</v>
      </c>
      <c r="H240" t="s">
        <v>1153</v>
      </c>
      <c r="I240" t="s">
        <v>1158</v>
      </c>
      <c r="J240" t="s">
        <v>1153</v>
      </c>
      <c r="L240" t="s">
        <v>105</v>
      </c>
    </row>
    <row r="241" spans="1:12" x14ac:dyDescent="0.25">
      <c r="A241" t="s">
        <v>718</v>
      </c>
      <c r="B241" t="s">
        <v>719</v>
      </c>
      <c r="C241" t="s">
        <v>1151</v>
      </c>
      <c r="D241" t="s">
        <v>1159</v>
      </c>
      <c r="E241" t="s">
        <v>462</v>
      </c>
      <c r="F241" t="s">
        <v>722</v>
      </c>
      <c r="G241" t="s">
        <v>723</v>
      </c>
      <c r="H241" t="s">
        <v>1153</v>
      </c>
      <c r="I241" t="s">
        <v>1160</v>
      </c>
      <c r="J241" t="s">
        <v>1153</v>
      </c>
      <c r="L241" t="s">
        <v>105</v>
      </c>
    </row>
    <row r="242" spans="1:12" x14ac:dyDescent="0.25">
      <c r="A242" t="s">
        <v>718</v>
      </c>
      <c r="B242" t="s">
        <v>719</v>
      </c>
      <c r="C242" t="s">
        <v>1151</v>
      </c>
      <c r="D242" t="s">
        <v>1161</v>
      </c>
      <c r="E242" t="s">
        <v>730</v>
      </c>
      <c r="F242" t="s">
        <v>722</v>
      </c>
      <c r="H242" t="s">
        <v>1153</v>
      </c>
      <c r="I242" t="s">
        <v>762</v>
      </c>
      <c r="J242" t="s">
        <v>1153</v>
      </c>
      <c r="L242" t="s">
        <v>105</v>
      </c>
    </row>
    <row r="243" spans="1:12" x14ac:dyDescent="0.25">
      <c r="A243" t="s">
        <v>718</v>
      </c>
      <c r="B243" t="s">
        <v>719</v>
      </c>
      <c r="C243" t="s">
        <v>1151</v>
      </c>
      <c r="D243" t="s">
        <v>1162</v>
      </c>
      <c r="E243" t="s">
        <v>733</v>
      </c>
      <c r="F243" t="s">
        <v>734</v>
      </c>
      <c r="H243" t="s">
        <v>1153</v>
      </c>
      <c r="I243" t="s">
        <v>764</v>
      </c>
      <c r="J243" t="s">
        <v>1153</v>
      </c>
      <c r="L243" t="s">
        <v>105</v>
      </c>
    </row>
    <row r="244" spans="1:12" x14ac:dyDescent="0.25">
      <c r="A244" t="s">
        <v>718</v>
      </c>
      <c r="B244" t="s">
        <v>719</v>
      </c>
      <c r="C244" t="s">
        <v>1151</v>
      </c>
      <c r="D244" t="s">
        <v>1163</v>
      </c>
      <c r="E244" t="s">
        <v>368</v>
      </c>
      <c r="F244" t="s">
        <v>804</v>
      </c>
      <c r="G244" t="s">
        <v>723</v>
      </c>
      <c r="H244" t="s">
        <v>1153</v>
      </c>
      <c r="I244" t="s">
        <v>1095</v>
      </c>
      <c r="J244" t="s">
        <v>1153</v>
      </c>
      <c r="L244" t="s">
        <v>105</v>
      </c>
    </row>
    <row r="245" spans="1:12" x14ac:dyDescent="0.25">
      <c r="A245" t="s">
        <v>718</v>
      </c>
      <c r="B245" t="s">
        <v>719</v>
      </c>
      <c r="C245" t="s">
        <v>1151</v>
      </c>
      <c r="D245" t="s">
        <v>1164</v>
      </c>
      <c r="E245" t="s">
        <v>730</v>
      </c>
      <c r="F245" t="s">
        <v>722</v>
      </c>
      <c r="H245" t="s">
        <v>1153</v>
      </c>
      <c r="I245" t="s">
        <v>768</v>
      </c>
      <c r="J245" t="s">
        <v>1153</v>
      </c>
      <c r="L245" t="s">
        <v>105</v>
      </c>
    </row>
    <row r="246" spans="1:12" x14ac:dyDescent="0.25">
      <c r="A246" t="s">
        <v>718</v>
      </c>
      <c r="B246" t="s">
        <v>719</v>
      </c>
      <c r="C246" t="s">
        <v>1151</v>
      </c>
      <c r="D246" t="s">
        <v>1165</v>
      </c>
      <c r="E246" t="s">
        <v>850</v>
      </c>
      <c r="F246" t="s">
        <v>734</v>
      </c>
      <c r="G246" t="s">
        <v>723</v>
      </c>
      <c r="H246" t="s">
        <v>1153</v>
      </c>
      <c r="I246" t="s">
        <v>1166</v>
      </c>
      <c r="J246" t="s">
        <v>1153</v>
      </c>
      <c r="L246" t="s">
        <v>105</v>
      </c>
    </row>
    <row r="247" spans="1:12" x14ac:dyDescent="0.25">
      <c r="A247" t="s">
        <v>718</v>
      </c>
      <c r="B247" t="s">
        <v>719</v>
      </c>
      <c r="C247" t="s">
        <v>1151</v>
      </c>
      <c r="D247" t="s">
        <v>1167</v>
      </c>
      <c r="E247" t="s">
        <v>727</v>
      </c>
      <c r="F247" t="s">
        <v>722</v>
      </c>
      <c r="G247" t="s">
        <v>723</v>
      </c>
      <c r="H247" t="s">
        <v>1153</v>
      </c>
      <c r="I247" t="s">
        <v>728</v>
      </c>
      <c r="J247" t="s">
        <v>1153</v>
      </c>
      <c r="L247" t="s">
        <v>105</v>
      </c>
    </row>
    <row r="248" spans="1:12" x14ac:dyDescent="0.25">
      <c r="A248" t="s">
        <v>718</v>
      </c>
      <c r="B248" t="s">
        <v>719</v>
      </c>
      <c r="C248" t="s">
        <v>1151</v>
      </c>
      <c r="D248" t="s">
        <v>1168</v>
      </c>
      <c r="E248" t="s">
        <v>850</v>
      </c>
      <c r="F248" t="s">
        <v>734</v>
      </c>
      <c r="G248" t="s">
        <v>723</v>
      </c>
      <c r="H248" t="s">
        <v>1153</v>
      </c>
      <c r="I248" t="s">
        <v>1169</v>
      </c>
      <c r="J248" t="s">
        <v>1153</v>
      </c>
      <c r="L248" t="s">
        <v>105</v>
      </c>
    </row>
    <row r="249" spans="1:12" x14ac:dyDescent="0.25">
      <c r="A249" t="s">
        <v>718</v>
      </c>
      <c r="B249" t="s">
        <v>719</v>
      </c>
      <c r="C249" t="s">
        <v>1151</v>
      </c>
      <c r="D249" t="s">
        <v>1170</v>
      </c>
      <c r="E249" t="s">
        <v>730</v>
      </c>
      <c r="F249" t="s">
        <v>722</v>
      </c>
      <c r="G249" t="s">
        <v>723</v>
      </c>
      <c r="H249" t="s">
        <v>1153</v>
      </c>
      <c r="I249" t="s">
        <v>731</v>
      </c>
      <c r="J249" t="s">
        <v>1153</v>
      </c>
      <c r="L249" t="s">
        <v>105</v>
      </c>
    </row>
    <row r="250" spans="1:12" x14ac:dyDescent="0.25">
      <c r="A250" t="s">
        <v>718</v>
      </c>
      <c r="B250" t="s">
        <v>719</v>
      </c>
      <c r="C250" t="s">
        <v>1151</v>
      </c>
      <c r="D250" t="s">
        <v>1171</v>
      </c>
      <c r="E250" t="s">
        <v>451</v>
      </c>
      <c r="F250" t="s">
        <v>734</v>
      </c>
      <c r="G250" t="s">
        <v>723</v>
      </c>
      <c r="H250" t="s">
        <v>1153</v>
      </c>
      <c r="I250" t="s">
        <v>1172</v>
      </c>
      <c r="J250" t="s">
        <v>1153</v>
      </c>
      <c r="L250" t="s">
        <v>105</v>
      </c>
    </row>
    <row r="251" spans="1:12" x14ac:dyDescent="0.25">
      <c r="A251" t="s">
        <v>718</v>
      </c>
      <c r="B251" t="s">
        <v>719</v>
      </c>
      <c r="C251" t="s">
        <v>1151</v>
      </c>
      <c r="D251" t="s">
        <v>1173</v>
      </c>
      <c r="E251" t="s">
        <v>733</v>
      </c>
      <c r="F251" t="s">
        <v>734</v>
      </c>
      <c r="G251" t="s">
        <v>723</v>
      </c>
      <c r="H251" t="s">
        <v>1153</v>
      </c>
      <c r="I251" t="s">
        <v>735</v>
      </c>
      <c r="J251" t="s">
        <v>1153</v>
      </c>
      <c r="L251" t="s">
        <v>105</v>
      </c>
    </row>
    <row r="252" spans="1:12" x14ac:dyDescent="0.25">
      <c r="A252" t="s">
        <v>718</v>
      </c>
      <c r="B252" t="s">
        <v>719</v>
      </c>
      <c r="C252" t="s">
        <v>1151</v>
      </c>
      <c r="D252" t="s">
        <v>1174</v>
      </c>
      <c r="E252" t="s">
        <v>429</v>
      </c>
      <c r="F252" t="s">
        <v>722</v>
      </c>
      <c r="G252" t="s">
        <v>723</v>
      </c>
      <c r="H252" t="s">
        <v>1153</v>
      </c>
      <c r="I252" t="s">
        <v>1175</v>
      </c>
      <c r="J252" t="s">
        <v>1153</v>
      </c>
      <c r="L252" t="s">
        <v>105</v>
      </c>
    </row>
    <row r="253" spans="1:12" x14ac:dyDescent="0.25">
      <c r="A253" t="s">
        <v>718</v>
      </c>
      <c r="B253" t="s">
        <v>719</v>
      </c>
      <c r="C253" t="s">
        <v>1151</v>
      </c>
      <c r="D253" t="s">
        <v>1176</v>
      </c>
      <c r="E253" t="s">
        <v>739</v>
      </c>
      <c r="F253" t="s">
        <v>734</v>
      </c>
      <c r="G253" t="s">
        <v>723</v>
      </c>
      <c r="H253" t="s">
        <v>1153</v>
      </c>
      <c r="I253" t="s">
        <v>740</v>
      </c>
      <c r="J253" t="s">
        <v>1153</v>
      </c>
      <c r="L253" t="s">
        <v>105</v>
      </c>
    </row>
    <row r="254" spans="1:12" x14ac:dyDescent="0.25">
      <c r="A254" t="s">
        <v>718</v>
      </c>
      <c r="B254" t="s">
        <v>719</v>
      </c>
      <c r="C254" t="s">
        <v>1151</v>
      </c>
      <c r="D254" t="s">
        <v>1177</v>
      </c>
      <c r="E254" t="s">
        <v>451</v>
      </c>
      <c r="F254" t="s">
        <v>734</v>
      </c>
      <c r="G254" t="s">
        <v>723</v>
      </c>
      <c r="H254" t="s">
        <v>1153</v>
      </c>
      <c r="I254" t="s">
        <v>742</v>
      </c>
      <c r="J254" t="s">
        <v>1153</v>
      </c>
      <c r="L254" t="s">
        <v>105</v>
      </c>
    </row>
    <row r="255" spans="1:12" x14ac:dyDescent="0.25">
      <c r="A255" t="s">
        <v>718</v>
      </c>
      <c r="B255" t="s">
        <v>719</v>
      </c>
      <c r="C255" t="s">
        <v>1151</v>
      </c>
      <c r="D255" t="s">
        <v>1178</v>
      </c>
      <c r="E255" t="s">
        <v>746</v>
      </c>
      <c r="F255" t="s">
        <v>734</v>
      </c>
      <c r="G255" t="s">
        <v>723</v>
      </c>
      <c r="H255" t="s">
        <v>1153</v>
      </c>
      <c r="I255" t="s">
        <v>747</v>
      </c>
      <c r="J255" t="s">
        <v>1153</v>
      </c>
      <c r="L255" t="s">
        <v>105</v>
      </c>
    </row>
    <row r="256" spans="1:12" x14ac:dyDescent="0.25">
      <c r="A256" t="s">
        <v>718</v>
      </c>
      <c r="B256" t="s">
        <v>719</v>
      </c>
      <c r="C256" t="s">
        <v>1151</v>
      </c>
      <c r="D256" t="s">
        <v>1179</v>
      </c>
      <c r="E256" t="s">
        <v>730</v>
      </c>
      <c r="F256" t="s">
        <v>722</v>
      </c>
      <c r="G256" t="s">
        <v>723</v>
      </c>
      <c r="H256" t="s">
        <v>1153</v>
      </c>
      <c r="I256" t="s">
        <v>749</v>
      </c>
      <c r="J256" t="s">
        <v>1153</v>
      </c>
      <c r="L256" t="s">
        <v>105</v>
      </c>
    </row>
    <row r="257" spans="1:12" x14ac:dyDescent="0.25">
      <c r="A257" t="s">
        <v>718</v>
      </c>
      <c r="B257" t="s">
        <v>719</v>
      </c>
      <c r="C257" t="s">
        <v>1151</v>
      </c>
      <c r="D257" t="s">
        <v>1180</v>
      </c>
      <c r="E257" t="s">
        <v>1109</v>
      </c>
      <c r="F257" t="s">
        <v>722</v>
      </c>
      <c r="G257" t="s">
        <v>723</v>
      </c>
      <c r="H257" t="s">
        <v>1153</v>
      </c>
      <c r="I257" t="s">
        <v>1181</v>
      </c>
      <c r="J257" t="s">
        <v>1153</v>
      </c>
      <c r="L257" t="s">
        <v>105</v>
      </c>
    </row>
    <row r="258" spans="1:12" x14ac:dyDescent="0.25">
      <c r="A258" t="s">
        <v>718</v>
      </c>
      <c r="B258" t="s">
        <v>719</v>
      </c>
      <c r="C258" t="s">
        <v>1151</v>
      </c>
      <c r="D258" t="s">
        <v>1182</v>
      </c>
      <c r="E258" t="s">
        <v>971</v>
      </c>
      <c r="F258" t="s">
        <v>722</v>
      </c>
      <c r="G258" t="s">
        <v>723</v>
      </c>
      <c r="H258" t="s">
        <v>1153</v>
      </c>
      <c r="I258" t="s">
        <v>1183</v>
      </c>
      <c r="J258" t="s">
        <v>1153</v>
      </c>
      <c r="L258" t="s">
        <v>105</v>
      </c>
    </row>
    <row r="259" spans="1:12" x14ac:dyDescent="0.25">
      <c r="A259" t="s">
        <v>718</v>
      </c>
      <c r="B259" t="s">
        <v>719</v>
      </c>
      <c r="C259" t="s">
        <v>1151</v>
      </c>
      <c r="D259" t="s">
        <v>1184</v>
      </c>
      <c r="E259" t="s">
        <v>462</v>
      </c>
      <c r="F259" t="s">
        <v>722</v>
      </c>
      <c r="G259" t="s">
        <v>723</v>
      </c>
      <c r="H259" t="s">
        <v>1153</v>
      </c>
      <c r="I259" t="s">
        <v>1185</v>
      </c>
      <c r="J259" t="s">
        <v>1153</v>
      </c>
      <c r="L259" t="s">
        <v>105</v>
      </c>
    </row>
    <row r="260" spans="1:12" x14ac:dyDescent="0.25">
      <c r="A260" t="s">
        <v>718</v>
      </c>
      <c r="B260" t="s">
        <v>719</v>
      </c>
      <c r="C260" t="s">
        <v>1151</v>
      </c>
      <c r="D260" t="s">
        <v>1186</v>
      </c>
      <c r="E260" t="s">
        <v>368</v>
      </c>
      <c r="F260" t="s">
        <v>804</v>
      </c>
      <c r="G260" t="s">
        <v>723</v>
      </c>
      <c r="H260" t="s">
        <v>1153</v>
      </c>
      <c r="I260" t="s">
        <v>1072</v>
      </c>
      <c r="J260" t="s">
        <v>1153</v>
      </c>
      <c r="L260" t="s">
        <v>105</v>
      </c>
    </row>
    <row r="261" spans="1:12" x14ac:dyDescent="0.25">
      <c r="A261" t="s">
        <v>718</v>
      </c>
      <c r="B261" t="s">
        <v>719</v>
      </c>
      <c r="C261" t="s">
        <v>1151</v>
      </c>
      <c r="D261" t="s">
        <v>1187</v>
      </c>
      <c r="E261" t="s">
        <v>730</v>
      </c>
      <c r="F261" t="s">
        <v>722</v>
      </c>
      <c r="H261" t="s">
        <v>1153</v>
      </c>
      <c r="I261" t="s">
        <v>762</v>
      </c>
      <c r="J261" t="s">
        <v>1153</v>
      </c>
      <c r="L261" t="s">
        <v>105</v>
      </c>
    </row>
    <row r="262" spans="1:12" x14ac:dyDescent="0.25">
      <c r="A262" t="s">
        <v>718</v>
      </c>
      <c r="B262" t="s">
        <v>719</v>
      </c>
      <c r="C262" t="s">
        <v>1151</v>
      </c>
      <c r="D262" t="s">
        <v>1188</v>
      </c>
      <c r="E262" t="s">
        <v>733</v>
      </c>
      <c r="F262" t="s">
        <v>734</v>
      </c>
      <c r="H262" t="s">
        <v>1153</v>
      </c>
      <c r="I262" t="s">
        <v>764</v>
      </c>
      <c r="J262" t="s">
        <v>1153</v>
      </c>
      <c r="L262" t="s">
        <v>105</v>
      </c>
    </row>
    <row r="263" spans="1:12" x14ac:dyDescent="0.25">
      <c r="A263" t="s">
        <v>718</v>
      </c>
      <c r="B263" t="s">
        <v>719</v>
      </c>
      <c r="C263" t="s">
        <v>1151</v>
      </c>
      <c r="D263" t="s">
        <v>1189</v>
      </c>
      <c r="E263" t="s">
        <v>429</v>
      </c>
      <c r="F263" t="s">
        <v>722</v>
      </c>
      <c r="G263" t="s">
        <v>723</v>
      </c>
      <c r="H263" t="s">
        <v>1153</v>
      </c>
      <c r="I263" t="s">
        <v>1190</v>
      </c>
      <c r="J263" t="s">
        <v>1153</v>
      </c>
      <c r="L263" t="s">
        <v>105</v>
      </c>
    </row>
    <row r="264" spans="1:12" x14ac:dyDescent="0.25">
      <c r="A264" t="s">
        <v>718</v>
      </c>
      <c r="B264" t="s">
        <v>719</v>
      </c>
      <c r="C264" t="s">
        <v>1151</v>
      </c>
      <c r="D264" t="s">
        <v>1191</v>
      </c>
      <c r="E264" t="s">
        <v>90</v>
      </c>
      <c r="F264" t="s">
        <v>734</v>
      </c>
      <c r="G264" t="s">
        <v>723</v>
      </c>
      <c r="H264" t="s">
        <v>1153</v>
      </c>
      <c r="I264" t="s">
        <v>1078</v>
      </c>
      <c r="J264" t="s">
        <v>1153</v>
      </c>
      <c r="L264" t="s">
        <v>105</v>
      </c>
    </row>
    <row r="265" spans="1:12" x14ac:dyDescent="0.25">
      <c r="A265" t="s">
        <v>718</v>
      </c>
      <c r="B265" t="s">
        <v>719</v>
      </c>
      <c r="C265" t="s">
        <v>1151</v>
      </c>
      <c r="D265" t="s">
        <v>1192</v>
      </c>
      <c r="E265" t="s">
        <v>730</v>
      </c>
      <c r="F265" t="s">
        <v>722</v>
      </c>
      <c r="H265" t="s">
        <v>1153</v>
      </c>
      <c r="I265" t="s">
        <v>768</v>
      </c>
      <c r="J265" t="s">
        <v>1153</v>
      </c>
      <c r="L265" t="s">
        <v>105</v>
      </c>
    </row>
    <row r="266" spans="1:12" x14ac:dyDescent="0.25">
      <c r="A266" t="s">
        <v>718</v>
      </c>
      <c r="B266" t="s">
        <v>719</v>
      </c>
      <c r="C266" t="s">
        <v>1151</v>
      </c>
      <c r="D266" t="s">
        <v>1193</v>
      </c>
      <c r="E266" t="s">
        <v>759</v>
      </c>
      <c r="F266" t="s">
        <v>734</v>
      </c>
      <c r="G266" t="s">
        <v>723</v>
      </c>
      <c r="H266" t="s">
        <v>1153</v>
      </c>
      <c r="I266" t="s">
        <v>1081</v>
      </c>
      <c r="J266" t="s">
        <v>1153</v>
      </c>
      <c r="L266" t="s">
        <v>105</v>
      </c>
    </row>
    <row r="267" spans="1:12" x14ac:dyDescent="0.25">
      <c r="A267" t="s">
        <v>718</v>
      </c>
      <c r="B267" t="s">
        <v>719</v>
      </c>
      <c r="C267" t="s">
        <v>1151</v>
      </c>
      <c r="D267" t="s">
        <v>1194</v>
      </c>
      <c r="E267" t="s">
        <v>783</v>
      </c>
      <c r="F267" t="s">
        <v>722</v>
      </c>
      <c r="G267" t="s">
        <v>723</v>
      </c>
      <c r="H267" t="s">
        <v>1153</v>
      </c>
      <c r="I267" t="s">
        <v>1195</v>
      </c>
      <c r="J267" t="s">
        <v>1153</v>
      </c>
      <c r="L267" t="s">
        <v>105</v>
      </c>
    </row>
    <row r="268" spans="1:12" x14ac:dyDescent="0.25">
      <c r="A268" t="s">
        <v>718</v>
      </c>
      <c r="B268" t="s">
        <v>719</v>
      </c>
      <c r="C268" t="s">
        <v>1151</v>
      </c>
      <c r="D268" t="s">
        <v>1196</v>
      </c>
      <c r="E268" t="s">
        <v>786</v>
      </c>
      <c r="F268" t="s">
        <v>734</v>
      </c>
      <c r="G268" t="s">
        <v>723</v>
      </c>
      <c r="H268" t="s">
        <v>1153</v>
      </c>
      <c r="I268" t="s">
        <v>787</v>
      </c>
      <c r="J268" t="s">
        <v>1153</v>
      </c>
      <c r="L268" t="s">
        <v>105</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
  <sheetViews>
    <sheetView workbookViewId="0">
      <pane ySplit="1" topLeftCell="A2" activePane="bottomLeft" state="frozen"/>
      <selection pane="bottomLeft"/>
    </sheetView>
  </sheetViews>
  <sheetFormatPr defaultRowHeight="15" x14ac:dyDescent="0.25"/>
  <cols>
    <col min="1" max="1" width="12" customWidth="1"/>
    <col min="2" max="2" width="24" customWidth="1"/>
    <col min="3" max="3" width="16" customWidth="1"/>
    <col min="4" max="5" width="12" customWidth="1"/>
    <col min="6" max="6" width="17" customWidth="1"/>
    <col min="7" max="9" width="12" customWidth="1"/>
    <col min="10" max="10" width="17" customWidth="1"/>
    <col min="11" max="11" width="12" customWidth="1"/>
  </cols>
  <sheetData>
    <row r="1" spans="1:11" x14ac:dyDescent="0.25">
      <c r="A1" s="4" t="s">
        <v>1197</v>
      </c>
      <c r="B1" s="4" t="s">
        <v>37</v>
      </c>
      <c r="C1" s="4" t="s">
        <v>1198</v>
      </c>
      <c r="D1" s="4" t="s">
        <v>1199</v>
      </c>
      <c r="E1" s="4" t="s">
        <v>1200</v>
      </c>
      <c r="F1" s="4" t="s">
        <v>1201</v>
      </c>
      <c r="G1" s="4" t="s">
        <v>1202</v>
      </c>
      <c r="H1" s="4" t="s">
        <v>1203</v>
      </c>
      <c r="I1" s="4" t="s">
        <v>1204</v>
      </c>
      <c r="J1" s="4" t="s">
        <v>95</v>
      </c>
      <c r="K1" s="4" t="s">
        <v>474</v>
      </c>
    </row>
    <row r="2" spans="1:11" x14ac:dyDescent="0.25">
      <c r="B2" t="s">
        <v>127</v>
      </c>
      <c r="H2" t="s">
        <v>1205</v>
      </c>
    </row>
    <row r="3" spans="1:11" x14ac:dyDescent="0.25">
      <c r="B3" t="s">
        <v>138</v>
      </c>
      <c r="H3" t="s">
        <v>1205</v>
      </c>
    </row>
    <row r="4" spans="1:11" x14ac:dyDescent="0.25">
      <c r="B4" t="s">
        <v>140</v>
      </c>
      <c r="H4" t="s">
        <v>1205</v>
      </c>
    </row>
    <row r="5" spans="1:11" x14ac:dyDescent="0.25">
      <c r="B5" t="s">
        <v>145</v>
      </c>
      <c r="H5" t="s">
        <v>1205</v>
      </c>
    </row>
    <row r="6" spans="1:11" x14ac:dyDescent="0.25">
      <c r="B6" t="s">
        <v>146</v>
      </c>
      <c r="H6" t="s">
        <v>1205</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
  <sheetViews>
    <sheetView workbookViewId="0">
      <pane ySplit="1" topLeftCell="A2" activePane="bottomLeft" state="frozen"/>
      <selection pane="bottomLeft"/>
    </sheetView>
  </sheetViews>
  <sheetFormatPr defaultRowHeight="15" x14ac:dyDescent="0.25"/>
  <cols>
    <col min="1" max="1" width="12" customWidth="1"/>
    <col min="2" max="2" width="13" customWidth="1"/>
    <col min="3" max="3" width="14" customWidth="1"/>
    <col min="4" max="4" width="17" customWidth="1"/>
    <col min="5" max="5" width="38" customWidth="1"/>
  </cols>
  <sheetData>
    <row r="1" spans="1:5" x14ac:dyDescent="0.25">
      <c r="A1" s="4" t="s">
        <v>93</v>
      </c>
      <c r="B1" s="4" t="s">
        <v>1206</v>
      </c>
      <c r="C1" s="4" t="s">
        <v>1207</v>
      </c>
      <c r="D1" s="4" t="s">
        <v>1208</v>
      </c>
      <c r="E1" s="4" t="s">
        <v>474</v>
      </c>
    </row>
    <row r="2" spans="1:5" x14ac:dyDescent="0.25">
      <c r="A2" t="s">
        <v>99</v>
      </c>
      <c r="E2" t="s">
        <v>1209</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47"/>
  <sheetViews>
    <sheetView workbookViewId="0">
      <pane ySplit="1" topLeftCell="A2" activePane="bottomLeft" state="frozen"/>
      <selection pane="bottomLeft"/>
    </sheetView>
  </sheetViews>
  <sheetFormatPr defaultRowHeight="15" x14ac:dyDescent="0.25"/>
  <cols>
    <col min="1" max="1" width="38" customWidth="1"/>
    <col min="2" max="2" width="17" customWidth="1"/>
    <col min="3" max="3" width="21" customWidth="1"/>
    <col min="4" max="4" width="22" customWidth="1"/>
    <col min="5" max="5" width="16" customWidth="1"/>
    <col min="6" max="6" width="12" customWidth="1"/>
    <col min="7" max="7" width="20" customWidth="1"/>
    <col min="8" max="8" width="38" customWidth="1"/>
  </cols>
  <sheetData>
    <row r="1" spans="1:8" x14ac:dyDescent="0.25">
      <c r="A1" s="4" t="s">
        <v>37</v>
      </c>
      <c r="B1" s="4" t="s">
        <v>97</v>
      </c>
      <c r="C1" s="4" t="s">
        <v>1210</v>
      </c>
      <c r="D1" s="4" t="s">
        <v>1211</v>
      </c>
      <c r="E1" s="4" t="s">
        <v>1212</v>
      </c>
      <c r="F1" s="4" t="s">
        <v>1213</v>
      </c>
      <c r="G1" s="4" t="s">
        <v>1214</v>
      </c>
      <c r="H1" s="4" t="s">
        <v>1215</v>
      </c>
    </row>
    <row r="2" spans="1:8" x14ac:dyDescent="0.25">
      <c r="A2" t="s">
        <v>154</v>
      </c>
      <c r="B2" t="s">
        <v>103</v>
      </c>
      <c r="F2" t="s">
        <v>1216</v>
      </c>
      <c r="G2" t="s">
        <v>1217</v>
      </c>
      <c r="H2" t="s">
        <v>1218</v>
      </c>
    </row>
    <row r="3" spans="1:8" x14ac:dyDescent="0.25">
      <c r="A3" t="s">
        <v>142</v>
      </c>
      <c r="B3" t="s">
        <v>103</v>
      </c>
      <c r="F3" t="s">
        <v>1216</v>
      </c>
      <c r="G3" t="s">
        <v>1217</v>
      </c>
      <c r="H3" t="s">
        <v>1218</v>
      </c>
    </row>
    <row r="4" spans="1:8" x14ac:dyDescent="0.25">
      <c r="A4" t="s">
        <v>145</v>
      </c>
      <c r="B4" t="s">
        <v>103</v>
      </c>
      <c r="F4" t="s">
        <v>1216</v>
      </c>
      <c r="G4" t="s">
        <v>1217</v>
      </c>
      <c r="H4" t="s">
        <v>1218</v>
      </c>
    </row>
    <row r="5" spans="1:8" x14ac:dyDescent="0.25">
      <c r="A5" t="s">
        <v>143</v>
      </c>
      <c r="B5" t="s">
        <v>103</v>
      </c>
      <c r="F5" t="s">
        <v>1216</v>
      </c>
      <c r="G5" t="s">
        <v>1217</v>
      </c>
      <c r="H5" t="s">
        <v>1218</v>
      </c>
    </row>
    <row r="6" spans="1:8" x14ac:dyDescent="0.25">
      <c r="A6" t="s">
        <v>139</v>
      </c>
      <c r="B6" t="s">
        <v>103</v>
      </c>
      <c r="F6" t="s">
        <v>1216</v>
      </c>
      <c r="G6" t="s">
        <v>1217</v>
      </c>
      <c r="H6" t="s">
        <v>1218</v>
      </c>
    </row>
    <row r="7" spans="1:8" x14ac:dyDescent="0.25">
      <c r="A7" t="s">
        <v>98</v>
      </c>
    </row>
    <row r="8" spans="1:8" x14ac:dyDescent="0.25">
      <c r="A8" t="s">
        <v>104</v>
      </c>
    </row>
    <row r="9" spans="1:8" x14ac:dyDescent="0.25">
      <c r="A9" t="s">
        <v>109</v>
      </c>
    </row>
    <row r="10" spans="1:8" x14ac:dyDescent="0.25">
      <c r="A10" t="s">
        <v>114</v>
      </c>
    </row>
    <row r="11" spans="1:8" x14ac:dyDescent="0.25">
      <c r="A11" t="s">
        <v>118</v>
      </c>
    </row>
    <row r="12" spans="1:8" x14ac:dyDescent="0.25">
      <c r="A12" t="s">
        <v>119</v>
      </c>
    </row>
    <row r="13" spans="1:8" x14ac:dyDescent="0.25">
      <c r="A13" t="s">
        <v>120</v>
      </c>
    </row>
    <row r="14" spans="1:8" x14ac:dyDescent="0.25">
      <c r="A14" t="s">
        <v>121</v>
      </c>
    </row>
    <row r="15" spans="1:8" x14ac:dyDescent="0.25">
      <c r="A15" t="s">
        <v>122</v>
      </c>
    </row>
    <row r="16" spans="1:8" x14ac:dyDescent="0.25">
      <c r="A16" t="s">
        <v>123</v>
      </c>
    </row>
    <row r="17" spans="1:1" x14ac:dyDescent="0.25">
      <c r="A17" t="s">
        <v>124</v>
      </c>
    </row>
    <row r="18" spans="1:1" x14ac:dyDescent="0.25">
      <c r="A18" t="s">
        <v>125</v>
      </c>
    </row>
    <row r="19" spans="1:1" x14ac:dyDescent="0.25">
      <c r="A19" t="s">
        <v>126</v>
      </c>
    </row>
    <row r="20" spans="1:1" x14ac:dyDescent="0.25">
      <c r="A20" t="s">
        <v>127</v>
      </c>
    </row>
    <row r="21" spans="1:1" x14ac:dyDescent="0.25">
      <c r="A21" t="s">
        <v>128</v>
      </c>
    </row>
    <row r="22" spans="1:1" x14ac:dyDescent="0.25">
      <c r="A22" t="s">
        <v>129</v>
      </c>
    </row>
    <row r="23" spans="1:1" x14ac:dyDescent="0.25">
      <c r="A23" t="s">
        <v>130</v>
      </c>
    </row>
    <row r="24" spans="1:1" x14ac:dyDescent="0.25">
      <c r="A24" t="s">
        <v>131</v>
      </c>
    </row>
    <row r="25" spans="1:1" x14ac:dyDescent="0.25">
      <c r="A25" t="s">
        <v>132</v>
      </c>
    </row>
    <row r="26" spans="1:1" x14ac:dyDescent="0.25">
      <c r="A26" t="s">
        <v>133</v>
      </c>
    </row>
    <row r="27" spans="1:1" x14ac:dyDescent="0.25">
      <c r="A27" t="s">
        <v>134</v>
      </c>
    </row>
    <row r="28" spans="1:1" x14ac:dyDescent="0.25">
      <c r="A28" t="s">
        <v>135</v>
      </c>
    </row>
    <row r="29" spans="1:1" x14ac:dyDescent="0.25">
      <c r="A29" t="s">
        <v>136</v>
      </c>
    </row>
    <row r="30" spans="1:1" x14ac:dyDescent="0.25">
      <c r="A30" t="s">
        <v>137</v>
      </c>
    </row>
    <row r="31" spans="1:1" x14ac:dyDescent="0.25">
      <c r="A31" t="s">
        <v>138</v>
      </c>
    </row>
    <row r="32" spans="1:1" x14ac:dyDescent="0.25">
      <c r="A32" t="s">
        <v>140</v>
      </c>
    </row>
    <row r="33" spans="1:1" x14ac:dyDescent="0.25">
      <c r="A33" t="s">
        <v>141</v>
      </c>
    </row>
    <row r="34" spans="1:1" x14ac:dyDescent="0.25">
      <c r="A34" t="s">
        <v>144</v>
      </c>
    </row>
    <row r="35" spans="1:1" x14ac:dyDescent="0.25">
      <c r="A35" t="s">
        <v>146</v>
      </c>
    </row>
    <row r="36" spans="1:1" x14ac:dyDescent="0.25">
      <c r="A36" t="s">
        <v>147</v>
      </c>
    </row>
    <row r="37" spans="1:1" x14ac:dyDescent="0.25">
      <c r="A37" t="s">
        <v>148</v>
      </c>
    </row>
    <row r="38" spans="1:1" x14ac:dyDescent="0.25">
      <c r="A38" t="s">
        <v>149</v>
      </c>
    </row>
    <row r="39" spans="1:1" x14ac:dyDescent="0.25">
      <c r="A39" t="s">
        <v>150</v>
      </c>
    </row>
    <row r="40" spans="1:1" x14ac:dyDescent="0.25">
      <c r="A40" t="s">
        <v>151</v>
      </c>
    </row>
    <row r="41" spans="1:1" x14ac:dyDescent="0.25">
      <c r="A41" t="s">
        <v>152</v>
      </c>
    </row>
    <row r="42" spans="1:1" x14ac:dyDescent="0.25">
      <c r="A42" t="s">
        <v>153</v>
      </c>
    </row>
    <row r="43" spans="1:1" x14ac:dyDescent="0.25">
      <c r="A43" t="s">
        <v>155</v>
      </c>
    </row>
    <row r="44" spans="1:1" x14ac:dyDescent="0.25">
      <c r="A44" t="s">
        <v>156</v>
      </c>
    </row>
    <row r="45" spans="1:1" x14ac:dyDescent="0.25">
      <c r="A45" t="s">
        <v>157</v>
      </c>
    </row>
    <row r="46" spans="1:1" x14ac:dyDescent="0.25">
      <c r="A46" t="s">
        <v>158</v>
      </c>
    </row>
    <row r="47" spans="1:1" x14ac:dyDescent="0.25">
      <c r="A47" t="s">
        <v>159</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
  <sheetViews>
    <sheetView workbookViewId="0"/>
  </sheetViews>
  <sheetFormatPr defaultRowHeight="15" x14ac:dyDescent="0.25"/>
  <cols>
    <col min="1" max="1" width="34" customWidth="1"/>
    <col min="2" max="2" width="72" customWidth="1"/>
  </cols>
  <sheetData>
    <row r="1" spans="1:2" ht="18.75" x14ac:dyDescent="0.3">
      <c r="A1" s="5" t="s">
        <v>1219</v>
      </c>
    </row>
    <row r="2" spans="1:2" x14ac:dyDescent="0.25">
      <c r="A2" t="s">
        <v>1220</v>
      </c>
    </row>
    <row r="3" spans="1:2" x14ac:dyDescent="0.25">
      <c r="A3" t="s">
        <v>37</v>
      </c>
      <c r="B3" t="s">
        <v>154</v>
      </c>
    </row>
    <row r="4" spans="1:2" x14ac:dyDescent="0.25">
      <c r="A4" s="6" t="s">
        <v>1221</v>
      </c>
      <c r="B4" s="6" t="s">
        <v>1222</v>
      </c>
    </row>
    <row r="5" spans="1:2" x14ac:dyDescent="0.25">
      <c r="A5" t="s">
        <v>1223</v>
      </c>
      <c r="B5" s="2" t="str">
        <f>IF($B$3="","",IFERROR(INDEX(chi_catalog[uscdi_element],MATCH($B$3,chi_catalog[semantic_id],0)),""))</f>
        <v>Race</v>
      </c>
    </row>
    <row r="6" spans="1:2" x14ac:dyDescent="0.25">
      <c r="A6" t="s">
        <v>1224</v>
      </c>
      <c r="B6" s="2" t="str">
        <f>IF($B$3="","",IFERROR(INDEX(chi_catalog[uscdi_description],MATCH($B$3,chi_catalog[semantic_id],0)),""))</f>
        <v>Patient's race(s)</v>
      </c>
    </row>
    <row r="7" spans="1:2" x14ac:dyDescent="0.25">
      <c r="A7" t="s">
        <v>1225</v>
      </c>
      <c r="B7" s="2" t="str">
        <f>IF($B$3="","",IFERROR(INDEX(chi_catalog[classification],MATCH($B$3,chi_catalog[semantic_id],0)),""))</f>
        <v>Master Demographics</v>
      </c>
    </row>
    <row r="8" spans="1:2" x14ac:dyDescent="0.25">
      <c r="A8" t="s">
        <v>1226</v>
      </c>
      <c r="B8" s="2">
        <f>IF($B$3="","",IFERROR(INDEX(chi_catalog[data_steward],MATCH($B$3,chi_catalog[semantic_id],0)),""))</f>
        <v>0</v>
      </c>
    </row>
    <row r="9" spans="1:2" x14ac:dyDescent="0.25">
      <c r="A9" t="s">
        <v>1227</v>
      </c>
      <c r="B9" s="2">
        <f>IF($B$3="","",IFERROR(INDEX(chi_catalog[approval_status],MATCH($B$3,chi_catalog[semantic_id],0)),""))</f>
        <v>0</v>
      </c>
    </row>
    <row r="10" spans="1:2" x14ac:dyDescent="0.25">
      <c r="A10" t="s">
        <v>1228</v>
      </c>
      <c r="B10" s="2" t="str">
        <f>IF($B$3="","",IFERROR(INDEX(chi_dictionary[fhir_r4_path],MATCH($B$3,chi_dictionary[semantic_id],0)),""))</f>
        <v>Patient.extension(us-core-race) [contains .extension(ombCategory) + .extension(detailed) + .extension(text)]</v>
      </c>
    </row>
    <row r="11" spans="1:2" x14ac:dyDescent="0.25">
      <c r="A11" t="s">
        <v>1229</v>
      </c>
      <c r="B11" s="2" t="str">
        <f>IF($B$3="","",IFERROR(INDEX(chi_dictionary[chi_survivorship_logic],MATCH($B$3,chi_dictionary[semantic_id],0)),""))</f>
        <v>Detailed &gt; high-level (Japanese &gt; Asian), support multiple values, most recent self-report preferred</v>
      </c>
    </row>
    <row r="12" spans="1:2" x14ac:dyDescent="0.25">
      <c r="A12" t="s">
        <v>1230</v>
      </c>
      <c r="B12" s="2" t="str">
        <f>IF($B$3="","",IFERROR(INDEX(chi_dictionary[data_source_rank_reference],MATCH($B$3,chi_dictionary[semantic_id],0)),""))</f>
        <v>Mark's Table 2 (Race): Highland #1, Alliance #7, Housing #20</v>
      </c>
    </row>
    <row r="13" spans="1:2" x14ac:dyDescent="0.25">
      <c r="A13" t="s">
        <v>1231</v>
      </c>
      <c r="B13" s="2" t="str">
        <f>IF($B$3="","",IFERROR(INDEX(chi_source_availability[source_id],MATCH($B$3,chi_source_availability[semantic_id],0)),""))</f>
        <v>cmt</v>
      </c>
    </row>
    <row r="14" spans="1:2" x14ac:dyDescent="0.25">
      <c r="A14" t="s">
        <v>1232</v>
      </c>
      <c r="B14" s="2" t="str">
        <f>IF($B$3="","",IFERROR(INDEX(chi_source_availability[availability],MATCH($B$3,chi_source_availability[semantic_id],0)),""))</f>
        <v>unknown</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_Model</vt:lpstr>
      <vt:lpstr>Table_Index</vt:lpstr>
      <vt:lpstr>Lookup_Lists</vt:lpstr>
      <vt:lpstr>Catalog</vt:lpstr>
      <vt:lpstr>Dictionary</vt:lpstr>
      <vt:lpstr>Source_Availability</vt:lpstr>
      <vt:lpstr>ADT_Mappings</vt:lpstr>
      <vt:lpstr>CCDA_Mappings</vt:lpstr>
      <vt:lpstr>FHIR_Inventory</vt:lpstr>
      <vt:lpstr>Business_Rules</vt:lpstr>
      <vt:lpstr>Source_Registry</vt:lpstr>
      <vt:lpstr>Steward_Queue</vt:lpstr>
      <vt:lpstr>Concept_Explorer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Ajay Prashar</cp:lastModifiedBy>
  <dcterms:created xsi:type="dcterms:W3CDTF">2026-06-08T22:19:33Z</dcterms:created>
  <dcterms:modified xsi:type="dcterms:W3CDTF">2026-06-08T22:26:31Z</dcterms:modified>
</cp:coreProperties>
</file>