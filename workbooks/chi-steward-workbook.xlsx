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_Model" sheetId="2" state="hidden" r:id="rId2"/>
    <sheet xmlns:r="http://schemas.openxmlformats.org/officeDocument/2006/relationships" name="Table_Index" sheetId="3" state="visible" r:id="rId3"/>
    <sheet xmlns:r="http://schemas.openxmlformats.org/officeDocument/2006/relationships" name="Lookup_Lists" sheetId="4" state="visible" r:id="rId4"/>
    <sheet xmlns:r="http://schemas.openxmlformats.org/officeDocument/2006/relationships" name="Catalog" sheetId="5" state="visible" r:id="rId5"/>
    <sheet xmlns:r="http://schemas.openxmlformats.org/officeDocument/2006/relationships" name="Dictionary" sheetId="6" state="visible" r:id="rId6"/>
    <sheet xmlns:r="http://schemas.openxmlformats.org/officeDocument/2006/relationships" name="Source_Availability" sheetId="7" state="visible" r:id="rId7"/>
    <sheet xmlns:r="http://schemas.openxmlformats.org/officeDocument/2006/relationships" name="ADT_Mappings" sheetId="8" state="visible" r:id="rId8"/>
    <sheet xmlns:r="http://schemas.openxmlformats.org/officeDocument/2006/relationships" name="CCDA_Mappings" sheetId="9" state="visible" r:id="rId9"/>
    <sheet xmlns:r="http://schemas.openxmlformats.org/officeDocument/2006/relationships" name="FHIR_Inventory" sheetId="10" state="visible" r:id="rId10"/>
    <sheet xmlns:r="http://schemas.openxmlformats.org/officeDocument/2006/relationships" name="Business_Rules" sheetId="11" state="visible" r:id="rId11"/>
    <sheet xmlns:r="http://schemas.openxmlformats.org/officeDocument/2006/relationships" name="Value_Set_Bindings" sheetId="12" state="visible" r:id="rId12"/>
    <sheet xmlns:r="http://schemas.openxmlformats.org/officeDocument/2006/relationships" name="Value_Set_Members" sheetId="13" state="visible" r:id="rId13"/>
    <sheet xmlns:r="http://schemas.openxmlformats.org/officeDocument/2006/relationships" name="Source_Value_Crosswalk" sheetId="14" state="visible" r:id="rId14"/>
    <sheet xmlns:r="http://schemas.openxmlformats.org/officeDocument/2006/relationships" name="Source_Registry" sheetId="15" state="visible" r:id="rId15"/>
    <sheet xmlns:r="http://schemas.openxmlformats.org/officeDocument/2006/relationships" name="Steward_Queue" sheetId="16" state="visible" r:id="rId16"/>
    <sheet xmlns:r="http://schemas.openxmlformats.org/officeDocument/2006/relationships" name="Concept_Explorer"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5">
    <fill>
      <patternFill/>
    </fill>
    <fill>
      <patternFill patternType="gray125"/>
    </fill>
    <fill>
      <patternFill patternType="solid">
        <fgColor rgb="00D9EAF7"/>
      </patternFill>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vertical="top" wrapText="1"/>
    </xf>
    <xf numFmtId="0" fontId="2" fillId="3" borderId="0"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chi_table_index" displayName="chi_table_index" ref="A1:D16" headerRowCount="1">
  <autoFilter ref="A1:D16"/>
  <tableColumns count="4">
    <tableColumn id="1" name="excel_table_name"/>
    <tableColumn id="2" name="sheet_tab"/>
    <tableColumn id="3" name="parquet_or_role"/>
    <tableColumn id="4" name="role"/>
  </tableColumns>
  <tableStyleInfo name="TableStyleMedium2" showFirstColumn="0" showLastColumn="0" showRowStripes="1" showColumnStripes="0"/>
</table>
</file>

<file path=xl/tables/table2.xml><?xml version="1.0" encoding="utf-8"?>
<table xmlns="http://schemas.openxmlformats.org/spreadsheetml/2006/main" id="2" name="chi_lookup_lists" displayName="chi_lookup_lists" ref="A1:F47" headerRowCount="1">
  <autoFilter ref="A1:F47"/>
  <tableColumns count="6">
    <tableColumn id="1" name="semantic_id"/>
    <tableColumn id="2" name="source_id"/>
    <tableColumn id="3" name="mapping_status"/>
    <tableColumn id="4" name="approval_status"/>
    <tableColumn id="5" name="availability"/>
    <tableColumn id="6" name="curation_status"/>
  </tableColumns>
  <tableStyleInfo name="TableStyleMedium2" showFirstColumn="0" showLastColumn="0" showRowStripes="1" showColumnStripes="0"/>
</table>
</file>

<file path=xl/tables/table3.xml><?xml version="1.0" encoding="utf-8"?>
<table xmlns="http://schemas.openxmlformats.org/spreadsheetml/2006/main" id="3" name="chi_catalog" displayName="chi_catalog" ref="A1:V47" headerRowCount="1">
  <autoFilter ref="A1:V47"/>
  <tableColumns count="22">
    <tableColumn id="1" name="semantic_id"/>
    <tableColumn id="2" name="uscdi_element"/>
    <tableColumn id="3" name="uscdi_description"/>
    <tableColumn id="4" name="classification"/>
    <tableColumn id="5" name="ruleset_category"/>
    <tableColumn id="6" name="domain"/>
    <tableColumn id="7" name="rollup_relationship"/>
    <tableColumn id="8" name="is_rollup"/>
    <tableColumn id="9" name="composite_group"/>
    <tableColumn id="10" name="data_steward"/>
    <tableColumn id="11" name="steward_contact"/>
    <tableColumn id="12" name="approval_status"/>
    <tableColumn id="13" name="schema_version"/>
    <tableColumn id="14" name="last_modified_date"/>
    <tableColumn id="15" name="identifier_type"/>
    <tableColumn id="16" name="identifier_authority"/>
    <tableColumn id="17" name="hipaa_category"/>
    <tableColumn id="18" name="fhir_security_label"/>
    <tableColumn id="19" name="consent_category"/>
    <tableColumn id="20" name="uscdi_data_class"/>
    <tableColumn id="21" name="uscdi_data_element"/>
    <tableColumn id="22" name="is_demographics_pilot"/>
  </tableColumns>
  <tableStyleInfo name="TableStyleMedium2" showFirstColumn="0" showLastColumn="0" showRowStripes="1" showColumnStripes="0"/>
</table>
</file>

<file path=xl/tables/table4.xml><?xml version="1.0" encoding="utf-8"?>
<table xmlns="http://schemas.openxmlformats.org/spreadsheetml/2006/main" id="4" name="chi_dictionary" displayName="chi_dictionary" ref="A1:R47" headerRowCount="1">
  <autoFilter ref="A1:R47"/>
  <tableColumns count="18">
    <tableColumn id="1" name="semantic_id"/>
    <tableColumn id="2" name="data_source_rank_reference"/>
    <tableColumn id="3" name="innovaccer_survivorship_logic"/>
    <tableColumn id="4" name="data_quality_notes"/>
    <tableColumn id="5" name="fhir_r4_path"/>
    <tableColumn id="6" name="fhir_data_type"/>
    <tableColumn id="7" name="calculation_grain"/>
    <tableColumn id="8" name="historical_freeze"/>
    <tableColumn id="9" name="recalc_window_months"/>
    <tableColumn id="10" name="fhir_must_support"/>
    <tableColumn id="11" name="fhir_profile"/>
    <tableColumn id="12" name="fhir_cardinality"/>
    <tableColumn id="13" name="identity_resolution_notes"/>
    <tableColumn id="14" name="tie_breaker_rule"/>
    <tableColumn id="15" name="conflict_detection_enabled"/>
    <tableColumn id="16" name="manual_override_allowed"/>
    <tableColumn id="17" name="de_identification_method"/>
    <tableColumn id="18" name="chi_survivorship_logic"/>
  </tableColumns>
  <tableStyleInfo name="TableStyleMedium2" showFirstColumn="0" showLastColumn="0" showRowStripes="1" showColumnStripes="0"/>
</table>
</file>

<file path=xl/tables/table5.xml><?xml version="1.0" encoding="utf-8"?>
<table xmlns="http://schemas.openxmlformats.org/spreadsheetml/2006/main" id="5" name="chi_source_availability" displayName="chi_source_availability" ref="A1:F47" headerRowCount="1">
  <autoFilter ref="A1:F47"/>
  <tableColumns count="6">
    <tableColumn id="1" name="source_id"/>
    <tableColumn id="2" name="semantic_id"/>
    <tableColumn id="3" name="availability"/>
    <tableColumn id="4" name="completeness_pct"/>
    <tableColumn id="5" name="timeliness_sla_hours"/>
    <tableColumn id="6" name="notes"/>
  </tableColumns>
  <tableStyleInfo name="TableStyleMedium2" showFirstColumn="0" showLastColumn="0" showRowStripes="1" showColumnStripes="0"/>
</table>
</file>

<file path=xl/tables/table6.xml><?xml version="1.0" encoding="utf-8"?>
<table xmlns="http://schemas.openxmlformats.org/spreadsheetml/2006/main" id="6" name="chi_adt_mappings" displayName="chi_adt_mappings" ref="A1:M44" headerRowCount="1">
  <autoFilter ref="A1:M44"/>
  <tableColumns count="13">
    <tableColumn id="1" name="message_format"/>
    <tableColumn id="2" name="message_type"/>
    <tableColumn id="3" name="segment_id"/>
    <tableColumn id="4" name="field_id"/>
    <tableColumn id="5" name="field_name"/>
    <tableColumn id="6" name="data_type"/>
    <tableColumn id="7" name="optionality"/>
    <tableColumn id="8" name="cardinality"/>
    <tableColumn id="9" name="semantic_id"/>
    <tableColumn id="10" name="fhir_r4_path"/>
    <tableColumn id="11" name="notes"/>
    <tableColumn id="12" name="mapping_status"/>
    <tableColumn id="13" name="hl7_ce_encoding"/>
  </tableColumns>
  <tableStyleInfo name="TableStyleMedium2" showFirstColumn="0" showLastColumn="0" showRowStripes="1" showColumnStripes="0"/>
</table>
</file>

<file path=xl/tables/table7.xml><?xml version="1.0" encoding="utf-8"?>
<table xmlns="http://schemas.openxmlformats.org/spreadsheetml/2006/main" id="7" name="chi_ccda_mappings" displayName="chi_ccda_mappings" ref="A1:H40" headerRowCount="1">
  <autoFilter ref="A1:H40"/>
  <tableColumns count="8">
    <tableColumn id="1" name="message_format"/>
    <tableColumn id="2" name="section_name"/>
    <tableColumn id="3" name="entry_type"/>
    <tableColumn id="4" name="xml_path"/>
    <tableColumn id="5" name="semantic_id"/>
    <tableColumn id="6" name="fhir_r4_path"/>
    <tableColumn id="7" name="notes"/>
    <tableColumn id="8" name="mapping_status"/>
  </tableColumns>
  <tableStyleInfo name="TableStyleMedium2" showFirstColumn="0" showLastColumn="0" showRowStripes="1" showColumnStripes="0"/>
</table>
</file>

<file path=xl/tables/table8.xml><?xml version="1.0" encoding="utf-8"?>
<table xmlns="http://schemas.openxmlformats.org/spreadsheetml/2006/main" id="8" name="chi_fhir_inventory" displayName="chi_fhir_inventory" ref="A1:L268" headerRowCount="1">
  <autoFilter ref="A1:L268"/>
  <tableColumns count="12">
    <tableColumn id="1" name="inventory_scope"/>
    <tableColumn id="2" name="fhir_version"/>
    <tableColumn id="3" name="fhir_resource"/>
    <tableColumn id="4" name="fhir_path"/>
    <tableColumn id="5" name="fhir_data_type"/>
    <tableColumn id="6" name="fhir_cardinality"/>
    <tableColumn id="7" name="fhir_must_support"/>
    <tableColumn id="8" name="fhir_profile"/>
    <tableColumn id="9" name="fhir_definition"/>
    <tableColumn id="10" name="standard_reference_url"/>
    <tableColumn id="11" name="semantic_id"/>
    <tableColumn id="12" name="mapping_status"/>
  </tableColumns>
  <tableStyleInfo name="TableStyleMedium2" showFirstColumn="0" showLastColumn="0" showRowStripes="1" showColumnStripes="0"/>
</table>
</file>

<file path=xl/tables/table9.xml><?xml version="1.0" encoding="utf-8"?>
<table xmlns="http://schemas.openxmlformats.org/spreadsheetml/2006/main" id="9" name="chi_business_rules" displayName="chi_business_rules" ref="A1:K6" headerRowCount="1">
  <autoFilter ref="A1:K6"/>
  <tableColumns count="11">
    <tableColumn id="1" name="rule_id"/>
    <tableColumn id="2" name="semantic_id"/>
    <tableColumn id="3" name="standard_scope"/>
    <tableColumn id="4" name="rule_name"/>
    <tableColumn id="5" name="rule_type"/>
    <tableColumn id="6" name="rule_expression"/>
    <tableColumn id="7" name="severity"/>
    <tableColumn id="8" name="active"/>
    <tableColumn id="9" name="owner"/>
    <tableColumn id="10" name="approval_status"/>
    <tableColumn id="11" name="notes"/>
  </tableColumns>
  <tableStyleInfo name="TableStyleMedium2" showFirstColumn="0" showLastColumn="0" showRowStripes="1" showColumnStripes="0"/>
</table>
</file>

<file path=xl/tables/table10.xml><?xml version="1.0" encoding="utf-8"?>
<table xmlns="http://schemas.openxmlformats.org/spreadsheetml/2006/main" id="10" name="chi_value_set_binding" displayName="chi_value_set_binding" ref="A1:K6" headerRowCount="1">
  <autoFilter ref="A1:K6"/>
  <tableColumns count="11">
    <tableColumn id="1" name="semantic_id"/>
    <tableColumn id="2" name="binding_role"/>
    <tableColumn id="3" name="value_set_name"/>
    <tableColumn id="4" name="value_set_url"/>
    <tableColumn id="5" name="code_system_oid"/>
    <tableColumn id="6" name="code_system_name"/>
    <tableColumn id="7" name="binding_strength"/>
    <tableColumn id="8" name="fhir_element"/>
    <tableColumn id="9" name="authority_reference"/>
    <tableColumn id="10" name="approval_status"/>
    <tableColumn id="11" name="notes"/>
  </tableColumns>
  <tableStyleInfo name="TableStyleMedium2" showFirstColumn="0" showLastColumn="0" showRowStripes="1" showColumnStripes="0"/>
</table>
</file>

<file path=xl/tables/table11.xml><?xml version="1.0" encoding="utf-8"?>
<table xmlns="http://schemas.openxmlformats.org/spreadsheetml/2006/main" id="11" name="chi_value_set_member" displayName="chi_value_set_member" ref="A1:K942" headerRowCount="1">
  <autoFilter ref="A1:K942"/>
  <tableColumns count="11">
    <tableColumn id="1" name="semantic_id"/>
    <tableColumn id="2" name="code_system_oid"/>
    <tableColumn id="3" name="code"/>
    <tableColumn id="4" name="display"/>
    <tableColumn id="5" name="member_type"/>
    <tableColumn id="6" name="binding_role"/>
    <tableColumn id="7" name="binding_strength"/>
    <tableColumn id="8" name="active"/>
    <tableColumn id="9" name="sort_order"/>
    <tableColumn id="10" name="notes"/>
    <tableColumn id="11" name="pbi_default_show"/>
  </tableColumns>
  <tableStyleInfo name="TableStyleMedium2" showFirstColumn="0" showLastColumn="0" showRowStripes="1" showColumnStripes="0"/>
</table>
</file>

<file path=xl/tables/table12.xml><?xml version="1.0" encoding="utf-8"?>
<table xmlns="http://schemas.openxmlformats.org/spreadsheetml/2006/main" id="12" name="chi_source_value_crosswalk" displayName="chi_source_value_crosswalk" ref="A1:M194" headerRowCount="1">
  <autoFilter ref="A1:M194"/>
  <tableColumns count="13">
    <tableColumn id="1" name="source_id"/>
    <tableColumn id="2" name="source_field"/>
    <tableColumn id="3" name="source_code"/>
    <tableColumn id="4" name="source_display"/>
    <tableColumn id="5" name="semantic_id"/>
    <tableColumn id="6" name="target_code_system_oid"/>
    <tableColumn id="7" name="target_code"/>
    <tableColumn id="8" name="target_display"/>
    <tableColumn id="9" name="mapping_type"/>
    <tableColumn id="10" name="approval_status"/>
    <tableColumn id="11" name="effective_from"/>
    <tableColumn id="12" name="effective_to"/>
    <tableColumn id="13" name="notes"/>
  </tableColumns>
  <tableStyleInfo name="TableStyleMedium2" showFirstColumn="0" showLastColumn="0" showRowStripes="1" showColumnStripes="0"/>
</table>
</file>

<file path=xl/tables/table13.xml><?xml version="1.0" encoding="utf-8"?>
<table xmlns="http://schemas.openxmlformats.org/spreadsheetml/2006/main" id="13" name="chi_source_registry" displayName="chi_source_registry" ref="A1:E2" headerRowCount="1">
  <autoFilter ref="A1:E2"/>
  <tableColumns count="5">
    <tableColumn id="1" name="source_id"/>
    <tableColumn id="2" name="source_name"/>
    <tableColumn id="3" name="organization"/>
    <tableColumn id="4" name="delivery_format"/>
    <tableColumn id="5" name="notes"/>
  </tableColumns>
  <tableStyleInfo name="TableStyleMedium2" showFirstColumn="0" showLastColumn="0" showRowStripes="1" showColumnStripes="0"/>
</table>
</file>

<file path=xl/tables/table14.xml><?xml version="1.0" encoding="utf-8"?>
<table xmlns="http://schemas.openxmlformats.org/spreadsheetml/2006/main" id="14" name="chi_steward_queue" displayName="chi_steward_queue" ref="A1:H47" headerRowCount="1">
  <autoFilter ref="A1:H47"/>
  <tableColumns count="8">
    <tableColumn id="1" name="semantic_id"/>
    <tableColumn id="2" name="curation_status"/>
    <tableColumn id="3" name="steward_assigned_to"/>
    <tableColumn id="4" name="steward_action_notes"/>
    <tableColumn id="5" name="reviewer_notes"/>
    <tableColumn id="6" name="priority"/>
    <tableColumn id="7" name="queue_type"/>
    <tableColumn id="8" name="next_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10" customWidth="1" min="2" max="2"/>
  </cols>
  <sheetData>
    <row r="1">
      <c r="A1" s="1" t="inlineStr">
        <is>
          <t>CHI Steward Workbook</t>
        </is>
      </c>
      <c r="B1" s="2" t="n"/>
    </row>
    <row r="2">
      <c r="A2" s="2" t="n"/>
      <c r="B2" s="2" t="n"/>
    </row>
    <row r="3">
      <c r="A3" s="2" t="inlineStr">
        <is>
          <t>Start here</t>
        </is>
      </c>
      <c r="B3" s="2" t="inlineStr"/>
    </row>
    <row r="4">
      <c r="A4" s="2" t="inlineStr">
        <is>
          <t xml:space="preserve">  1.</t>
        </is>
      </c>
      <c r="B4" s="2" t="inlineStr">
        <is>
          <t>Open Concept_Explorer - B3 defaults to Patient.race; try the other demographics pilot IDs next.</t>
        </is>
      </c>
    </row>
    <row r="5">
      <c r="A5" s="2" t="inlineStr">
        <is>
          <t xml:space="preserve">  2.</t>
        </is>
      </c>
      <c r="B5" s="2" t="inlineStr">
        <is>
          <t>Demographics pilot: Patient.race, Patient.ethnicity, Patient.language, Patient.gender_id, Patient.birth_sex.</t>
        </is>
      </c>
    </row>
    <row r="6">
      <c r="A6" s="2" t="inlineStr">
        <is>
          <t xml:space="preserve">  3.</t>
        </is>
      </c>
      <c r="B6" s="2" t="inlineStr">
        <is>
          <t>Edit Catalog and Dictionary for each concept; use Lookup_Lists for allowed status values.</t>
        </is>
      </c>
    </row>
    <row r="7">
      <c r="A7" s="2" t="inlineStr">
        <is>
          <t xml:space="preserve">  4.</t>
        </is>
      </c>
      <c r="B7" s="2" t="inlineStr">
        <is>
          <t>Check Source_Availability for source_id links; use Steward_Queue for workflow notes.</t>
        </is>
      </c>
    </row>
    <row r="8">
      <c r="A8" s="2" t="inlineStr">
        <is>
          <t xml:space="preserve">  5.</t>
        </is>
      </c>
      <c r="B8" s="2" t="inlineStr">
        <is>
          <t>When ready: python scripts/import_steward_workbook_to_parquet.py</t>
        </is>
      </c>
    </row>
    <row r="9">
      <c r="A9" s="2" t="n"/>
      <c r="B9" s="2" t="n"/>
    </row>
    <row r="10">
      <c r="A10" s="2" t="inlineStr">
        <is>
          <t>Purpose</t>
        </is>
      </c>
      <c r="B10" s="2" t="inlineStr">
        <is>
          <t>Governed data catalog + dictionary over ddc-* parquet, curated to healthcare standards, with HL7 ADT and C-CDA context sheets. See docs/product-vision.md.</t>
        </is>
      </c>
    </row>
    <row r="11">
      <c r="A11" s="2" t="inlineStr">
        <is>
          <t>Table naming</t>
        </is>
      </c>
      <c r="B11" s="2" t="inlineStr">
        <is>
          <t>Pattern: chi_{artifact} in snake_case. Examples: chi_catalog, chi_dictionary, chi_source_availability.</t>
        </is>
      </c>
    </row>
    <row r="12">
      <c r="A12" s="2" t="inlineStr">
        <is>
          <t>Table_Index</t>
        </is>
      </c>
      <c r="B12" s="2" t="inlineStr">
        <is>
          <t>Maps every sheet to role (Start here, Source linking, Mappings, Workflow, Reference), Excel Table name, and parquet artifact.</t>
        </is>
      </c>
    </row>
    <row r="13">
      <c r="A13" s="2" t="inlineStr">
        <is>
          <t>Join key</t>
        </is>
      </c>
      <c r="B13" s="2" t="inlineStr">
        <is>
          <t>semantic_id links chi_catalog to chi_dictionary, chi_source_availability, and mapping tables.</t>
        </is>
      </c>
    </row>
    <row r="14">
      <c r="A14" s="2" t="inlineStr">
        <is>
          <t>Concept_Explorer</t>
        </is>
      </c>
      <c r="B14" s="2" t="inlineStr">
        <is>
          <t>Change semantic_id in B3 to preview catalog, dictionary, and source fields on one row.</t>
        </is>
      </c>
    </row>
    <row r="15">
      <c r="A15" s="2" t="inlineStr">
        <is>
          <t>Steward_Queue</t>
        </is>
      </c>
      <c r="B15" s="2" t="inlineStr">
        <is>
          <t>Demographics pilot concepts are listed first with suggested next actions. Track curation_status and steward notes here (not imported to parquet).</t>
        </is>
      </c>
    </row>
    <row r="16">
      <c r="A16" s="2" t="inlineStr">
        <is>
          <t>Round trip</t>
        </is>
      </c>
      <c r="B16" s="2" t="inlineStr">
        <is>
          <t>python scripts/generate_steward_workbook.py exports parquet to Excel. python scripts/import_steward_workbook_to_parquet.py writes edits back to parquet.</t>
        </is>
      </c>
    </row>
    <row r="17">
      <c r="A17" s="2" t="inlineStr">
        <is>
          <t>Do not import</t>
        </is>
      </c>
      <c r="B17" s="2" t="inlineStr">
        <is>
          <t>README, _Model, Table_Index, Lookup_Lists, Concept_Explorer are support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9" customWidth="1" min="1" max="1"/>
    <col width="14" customWidth="1" min="2" max="2"/>
    <col width="13" customWidth="1" min="3" max="3"/>
    <col width="28" customWidth="1" min="4" max="4"/>
    <col width="13" customWidth="1" min="5" max="5"/>
    <col width="13" customWidth="1" min="6" max="6"/>
    <col width="38" customWidth="1" min="7" max="7"/>
  </cols>
  <sheetData>
    <row r="1">
      <c r="A1" s="3" t="inlineStr">
        <is>
          <t>rel_id</t>
        </is>
      </c>
      <c r="B1" s="3" t="inlineStr">
        <is>
          <t>parent_table</t>
        </is>
      </c>
      <c r="C1" s="3" t="inlineStr">
        <is>
          <t>parent_key</t>
        </is>
      </c>
      <c r="D1" s="3" t="inlineStr">
        <is>
          <t>child_table</t>
        </is>
      </c>
      <c r="E1" s="3" t="inlineStr">
        <is>
          <t>child_key</t>
        </is>
      </c>
      <c r="F1" s="3" t="inlineStr">
        <is>
          <t>cardinality</t>
        </is>
      </c>
      <c r="G1" s="3" t="inlineStr">
        <is>
          <t>description</t>
        </is>
      </c>
    </row>
    <row r="2">
      <c r="A2" t="inlineStr">
        <is>
          <t>catalog_dictionary</t>
        </is>
      </c>
      <c r="B2" t="inlineStr">
        <is>
          <t>chi_catalog</t>
        </is>
      </c>
      <c r="C2" t="inlineStr">
        <is>
          <t>semantic_id</t>
        </is>
      </c>
      <c r="D2" t="inlineStr">
        <is>
          <t>chi_dictionary</t>
        </is>
      </c>
      <c r="E2" t="inlineStr">
        <is>
          <t>semantic_id</t>
        </is>
      </c>
      <c r="F2" t="inlineStr">
        <is>
          <t>1:1</t>
        </is>
      </c>
      <c r="G2" t="inlineStr">
        <is>
          <t>Each governed concept has one implementation definition row.</t>
        </is>
      </c>
    </row>
    <row r="3">
      <c r="A3" t="inlineStr">
        <is>
          <t>catalog_source_availability</t>
        </is>
      </c>
      <c r="B3" t="inlineStr">
        <is>
          <t>chi_catalog</t>
        </is>
      </c>
      <c r="C3" t="inlineStr">
        <is>
          <t>semantic_id</t>
        </is>
      </c>
      <c r="D3" t="inlineStr">
        <is>
          <t>chi_source_availability</t>
        </is>
      </c>
      <c r="E3" t="inlineStr">
        <is>
          <t>semantic_id</t>
        </is>
      </c>
      <c r="F3" t="inlineStr">
        <is>
          <t>1:N</t>
        </is>
      </c>
      <c r="G3" t="inlineStr">
        <is>
          <t>Links each concept to the data sources that can provide it.</t>
        </is>
      </c>
    </row>
    <row r="4">
      <c r="A4" t="inlineStr">
        <is>
          <t>catalog_adt</t>
        </is>
      </c>
      <c r="B4" t="inlineStr">
        <is>
          <t>chi_catalog</t>
        </is>
      </c>
      <c r="C4" t="inlineStr">
        <is>
          <t>semantic_id</t>
        </is>
      </c>
      <c r="D4" t="inlineStr">
        <is>
          <t>chi_adt_mappings</t>
        </is>
      </c>
      <c r="E4" t="inlineStr">
        <is>
          <t>semantic_id</t>
        </is>
      </c>
      <c r="F4" t="inlineStr">
        <is>
          <t>1:N</t>
        </is>
      </c>
      <c r="G4" t="inlineStr">
        <is>
          <t>HL7 ADT segment/field placements for the same concept.</t>
        </is>
      </c>
    </row>
    <row r="5">
      <c r="A5" t="inlineStr">
        <is>
          <t>catalog_ccda</t>
        </is>
      </c>
      <c r="B5" t="inlineStr">
        <is>
          <t>chi_catalog</t>
        </is>
      </c>
      <c r="C5" t="inlineStr">
        <is>
          <t>semantic_id</t>
        </is>
      </c>
      <c r="D5" t="inlineStr">
        <is>
          <t>chi_ccda_mappings</t>
        </is>
      </c>
      <c r="E5" t="inlineStr">
        <is>
          <t>semantic_id</t>
        </is>
      </c>
      <c r="F5" t="inlineStr">
        <is>
          <t>1:N</t>
        </is>
      </c>
      <c r="G5" t="inlineStr">
        <is>
          <t>C-CDA/CCD XML paths for the same concept.</t>
        </is>
      </c>
    </row>
    <row r="6">
      <c r="A6" t="inlineStr">
        <is>
          <t>catalog_fhir_inventory</t>
        </is>
      </c>
      <c r="B6" t="inlineStr">
        <is>
          <t>chi_catalog</t>
        </is>
      </c>
      <c r="C6" t="inlineStr">
        <is>
          <t>semantic_id</t>
        </is>
      </c>
      <c r="D6" t="inlineStr">
        <is>
          <t>chi_fhir_inventory</t>
        </is>
      </c>
      <c r="E6" t="inlineStr">
        <is>
          <t>semantic_id</t>
        </is>
      </c>
      <c r="F6" t="inlineStr">
        <is>
          <t>1:N</t>
        </is>
      </c>
      <c r="G6" t="inlineStr">
        <is>
          <t>FHIR standards inventory rows tied to the concept.</t>
        </is>
      </c>
    </row>
    <row r="7">
      <c r="A7" t="inlineStr">
        <is>
          <t>catalog_business_rules</t>
        </is>
      </c>
      <c r="B7" t="inlineStr">
        <is>
          <t>chi_catalog</t>
        </is>
      </c>
      <c r="C7" t="inlineStr">
        <is>
          <t>semantic_id</t>
        </is>
      </c>
      <c r="D7" t="inlineStr">
        <is>
          <t>chi_business_rules</t>
        </is>
      </c>
      <c r="E7" t="inlineStr">
        <is>
          <t>semantic_id</t>
        </is>
      </c>
      <c r="F7" t="inlineStr">
        <is>
          <t>1:N</t>
        </is>
      </c>
      <c r="G7" t="inlineStr">
        <is>
          <t>Organization-specific rules for the concept.</t>
        </is>
      </c>
    </row>
    <row r="8">
      <c r="A8" t="inlineStr">
        <is>
          <t>catalog_value_set_binding</t>
        </is>
      </c>
      <c r="B8" t="inlineStr">
        <is>
          <t>chi_catalog</t>
        </is>
      </c>
      <c r="C8" t="inlineStr">
        <is>
          <t>semantic_id</t>
        </is>
      </c>
      <c r="D8" t="inlineStr">
        <is>
          <t>chi_value_set_binding</t>
        </is>
      </c>
      <c r="E8" t="inlineStr">
        <is>
          <t>semantic_id</t>
        </is>
      </c>
      <c r="F8" t="inlineStr">
        <is>
          <t>1:N</t>
        </is>
      </c>
      <c r="G8" t="inlineStr">
        <is>
          <t>Which terminology / value set applies to the concept.</t>
        </is>
      </c>
    </row>
    <row r="9">
      <c r="A9" t="inlineStr">
        <is>
          <t>catalog_value_set_member</t>
        </is>
      </c>
      <c r="B9" t="inlineStr">
        <is>
          <t>chi_catalog</t>
        </is>
      </c>
      <c r="C9" t="inlineStr">
        <is>
          <t>semantic_id</t>
        </is>
      </c>
      <c r="D9" t="inlineStr">
        <is>
          <t>chi_value_set_member</t>
        </is>
      </c>
      <c r="E9" t="inlineStr">
        <is>
          <t>semantic_id</t>
        </is>
      </c>
      <c r="F9" t="inlineStr">
        <is>
          <t>1:N</t>
        </is>
      </c>
      <c r="G9" t="inlineStr">
        <is>
          <t>Governed codes for the concept (CHI subset).</t>
        </is>
      </c>
    </row>
    <row r="10">
      <c r="A10" t="inlineStr">
        <is>
          <t>catalog_source_crosswalk</t>
        </is>
      </c>
      <c r="B10" t="inlineStr">
        <is>
          <t>chi_catalog</t>
        </is>
      </c>
      <c r="C10" t="inlineStr">
        <is>
          <t>semantic_id</t>
        </is>
      </c>
      <c r="D10" t="inlineStr">
        <is>
          <t>chi_source_value_crosswalk</t>
        </is>
      </c>
      <c r="E10" t="inlineStr">
        <is>
          <t>semantic_id</t>
        </is>
      </c>
      <c r="F10" t="inlineStr">
        <is>
          <t>1:N</t>
        </is>
      </c>
      <c r="G10" t="inlineStr">
        <is>
          <t>Source-local values mapped to governed standard codes.</t>
        </is>
      </c>
    </row>
    <row r="11">
      <c r="A11" t="inlineStr">
        <is>
          <t>catalog_steward_queue</t>
        </is>
      </c>
      <c r="B11" t="inlineStr">
        <is>
          <t>chi_catalog</t>
        </is>
      </c>
      <c r="C11" t="inlineStr">
        <is>
          <t>semantic_id</t>
        </is>
      </c>
      <c r="D11" t="inlineStr">
        <is>
          <t>chi_steward_queue</t>
        </is>
      </c>
      <c r="E11" t="inlineStr">
        <is>
          <t>semantic_id</t>
        </is>
      </c>
      <c r="F11" t="inlineStr">
        <is>
          <t>1:1</t>
        </is>
      </c>
      <c r="G11" t="inlineStr">
        <is>
          <t>Optional steward workflow overlay keyed by semantic_id.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38" customWidth="1" min="3" max="3"/>
    <col width="16" customWidth="1" min="4" max="4"/>
  </cols>
  <sheetData>
    <row r="1">
      <c r="A1" s="4" t="inlineStr">
        <is>
          <t>excel_table_name</t>
        </is>
      </c>
      <c r="B1" s="4" t="inlineStr">
        <is>
          <t>sheet_tab</t>
        </is>
      </c>
      <c r="C1" s="4" t="inlineStr">
        <is>
          <t>parquet_or_role</t>
        </is>
      </c>
      <c r="D1" s="4" t="inlineStr">
        <is>
          <t>role</t>
        </is>
      </c>
    </row>
    <row r="2">
      <c r="A2" t="inlineStr">
        <is>
          <t>(support)</t>
        </is>
      </c>
      <c r="B2" t="inlineStr">
        <is>
          <t>Concept_Explorer</t>
        </is>
      </c>
      <c r="C2" t="inlineStr">
        <is>
          <t>(lookup view; not imported)</t>
        </is>
      </c>
      <c r="D2" t="inlineStr">
        <is>
          <t>Start here</t>
        </is>
      </c>
    </row>
    <row r="3">
      <c r="A3" t="inlineStr">
        <is>
          <t>chi_catalog</t>
        </is>
      </c>
      <c r="B3" t="inlineStr">
        <is>
          <t>Catalog</t>
        </is>
      </c>
      <c r="C3" t="inlineStr">
        <is>
          <t>ddc-master_patient_catalog.parquet</t>
        </is>
      </c>
      <c r="D3" t="inlineStr">
        <is>
          <t>Start here</t>
        </is>
      </c>
    </row>
    <row r="4">
      <c r="A4" t="inlineStr">
        <is>
          <t>chi_dictionary</t>
        </is>
      </c>
      <c r="B4" t="inlineStr">
        <is>
          <t>Dictionary</t>
        </is>
      </c>
      <c r="C4" t="inlineStr">
        <is>
          <t>ddc-master_patient_dictionary.parquet</t>
        </is>
      </c>
      <c r="D4" t="inlineStr">
        <is>
          <t>Start here</t>
        </is>
      </c>
    </row>
    <row r="5">
      <c r="A5" t="inlineStr">
        <is>
          <t>chi_source_availability</t>
        </is>
      </c>
      <c r="B5" t="inlineStr">
        <is>
          <t>Source_Availability</t>
        </is>
      </c>
      <c r="C5" t="inlineStr">
        <is>
          <t>ddc-data_source_availability.parquet</t>
        </is>
      </c>
      <c r="D5" t="inlineStr">
        <is>
          <t>Source linking</t>
        </is>
      </c>
    </row>
    <row r="6">
      <c r="A6" t="inlineStr">
        <is>
          <t>chi_source_registry</t>
        </is>
      </c>
      <c r="B6" t="inlineStr">
        <is>
          <t>Source_Registry</t>
        </is>
      </c>
      <c r="C6" t="inlineStr">
        <is>
          <t>(steward metadata)</t>
        </is>
      </c>
      <c r="D6" t="inlineStr">
        <is>
          <t>Source linking</t>
        </is>
      </c>
    </row>
    <row r="7">
      <c r="A7" t="inlineStr">
        <is>
          <t>chi_steward_queue</t>
        </is>
      </c>
      <c r="B7" t="inlineStr">
        <is>
          <t>Steward_Queue</t>
        </is>
      </c>
      <c r="C7" t="inlineStr">
        <is>
          <t>(Excel workflow overlay)</t>
        </is>
      </c>
      <c r="D7" t="inlineStr">
        <is>
          <t>Workflow</t>
        </is>
      </c>
    </row>
    <row r="8">
      <c r="A8" t="inlineStr">
        <is>
          <t>chi_adt_mappings</t>
        </is>
      </c>
      <c r="B8" t="inlineStr">
        <is>
          <t>ADT_Mappings</t>
        </is>
      </c>
      <c r="C8" t="inlineStr">
        <is>
          <t>ddc-hl7_adt_catalog.parquet</t>
        </is>
      </c>
      <c r="D8" t="inlineStr">
        <is>
          <t>Mappings</t>
        </is>
      </c>
    </row>
    <row r="9">
      <c r="A9" t="inlineStr">
        <is>
          <t>chi_ccda_mappings</t>
        </is>
      </c>
      <c r="B9" t="inlineStr">
        <is>
          <t>CCDA_Mappings</t>
        </is>
      </c>
      <c r="C9" t="inlineStr">
        <is>
          <t>ddc-ccda_catalog.parquet</t>
        </is>
      </c>
      <c r="D9" t="inlineStr">
        <is>
          <t>Mappings</t>
        </is>
      </c>
    </row>
    <row r="10">
      <c r="A10" t="inlineStr">
        <is>
          <t>chi_fhir_inventory</t>
        </is>
      </c>
      <c r="B10" t="inlineStr">
        <is>
          <t>FHIR_Inventory</t>
        </is>
      </c>
      <c r="C10" t="inlineStr">
        <is>
          <t>ddc-fhir_inventory.parquet</t>
        </is>
      </c>
      <c r="D10" t="inlineStr">
        <is>
          <t>Mappings</t>
        </is>
      </c>
    </row>
    <row r="11">
      <c r="A11" t="inlineStr">
        <is>
          <t>chi_business_rules</t>
        </is>
      </c>
      <c r="B11" t="inlineStr">
        <is>
          <t>Business_Rules</t>
        </is>
      </c>
      <c r="C11" t="inlineStr">
        <is>
          <t>ddc-business_rules.parquet</t>
        </is>
      </c>
      <c r="D11" t="inlineStr">
        <is>
          <t>Mappings</t>
        </is>
      </c>
    </row>
    <row r="12">
      <c r="A12" t="inlineStr">
        <is>
          <t>chi_value_set_binding</t>
        </is>
      </c>
      <c r="B12" t="inlineStr">
        <is>
          <t>Value_Set_Bindings</t>
        </is>
      </c>
      <c r="C12" t="inlineStr">
        <is>
          <t>ddc-value_set_binding.parquet</t>
        </is>
      </c>
      <c r="D12" t="inlineStr">
        <is>
          <t>Terminology</t>
        </is>
      </c>
    </row>
    <row r="13">
      <c r="A13" t="inlineStr">
        <is>
          <t>chi_value_set_member</t>
        </is>
      </c>
      <c r="B13" t="inlineStr">
        <is>
          <t>Value_Set_Members</t>
        </is>
      </c>
      <c r="C13" t="inlineStr">
        <is>
          <t>ddc-value_set_member.parquet</t>
        </is>
      </c>
      <c r="D13" t="inlineStr">
        <is>
          <t>Terminology</t>
        </is>
      </c>
    </row>
    <row r="14">
      <c r="A14" t="inlineStr">
        <is>
          <t>chi_source_value_crosswalk</t>
        </is>
      </c>
      <c r="B14" t="inlineStr">
        <is>
          <t>Source_Value_Crosswalk</t>
        </is>
      </c>
      <c r="C14" t="inlineStr">
        <is>
          <t>ddc-source_value_crosswalk.parquet</t>
        </is>
      </c>
      <c r="D14" t="inlineStr">
        <is>
          <t>Crosswalk</t>
        </is>
      </c>
    </row>
    <row r="15">
      <c r="A15" t="inlineStr">
        <is>
          <t>chi_lookup_lists</t>
        </is>
      </c>
      <c r="B15" t="inlineStr">
        <is>
          <t>Lookup_Lists</t>
        </is>
      </c>
      <c r="C15" t="inlineStr">
        <is>
          <t>(reference lists)</t>
        </is>
      </c>
      <c r="D15" t="inlineStr">
        <is>
          <t>Reference</t>
        </is>
      </c>
    </row>
    <row r="16">
      <c r="A16" t="inlineStr">
        <is>
          <t>chi_table_index</t>
        </is>
      </c>
      <c r="B16" t="inlineStr">
        <is>
          <t>Table_Index</t>
        </is>
      </c>
      <c r="C16" t="inlineStr">
        <is>
          <t>(navigation map; not imported)</t>
        </is>
      </c>
      <c r="D16" t="inlineStr">
        <is>
          <t>Reference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7" customWidth="1" min="4" max="4"/>
    <col width="14" customWidth="1" min="5" max="5"/>
    <col width="18" customWidth="1" min="6" max="6"/>
  </cols>
  <sheetData>
    <row r="1">
      <c r="A1" s="4" t="inlineStr">
        <is>
          <t>semantic_id</t>
        </is>
      </c>
      <c r="B1" s="4" t="inlineStr">
        <is>
          <t>source_id</t>
        </is>
      </c>
      <c r="C1" s="4" t="inlineStr">
        <is>
          <t>mapping_status</t>
        </is>
      </c>
      <c r="D1" s="4" t="inlineStr">
        <is>
          <t>approval_status</t>
        </is>
      </c>
      <c r="E1" s="4" t="inlineStr">
        <is>
          <t>availability</t>
        </is>
      </c>
      <c r="F1" s="4" t="inlineStr">
        <is>
          <t>curation_status</t>
        </is>
      </c>
    </row>
    <row r="2">
      <c r="A2" t="inlineStr">
        <is>
          <t>Condition.code</t>
        </is>
      </c>
      <c r="B2" t="inlineStr">
        <is>
          <t>cmt</t>
        </is>
      </c>
      <c r="C2" t="inlineStr">
        <is>
          <t>mapped</t>
        </is>
      </c>
      <c r="D2" t="inlineStr">
        <is>
          <t>Pending</t>
        </is>
      </c>
      <c r="E2" t="inlineStr">
        <is>
          <t>full</t>
        </is>
      </c>
      <c r="F2" t="inlineStr">
        <is>
          <t>Needs Action</t>
        </is>
      </c>
    </row>
    <row r="3">
      <c r="A3" t="inlineStr">
        <is>
          <t>Coverage.identifier</t>
        </is>
      </c>
      <c r="B3" t="inlineStr"/>
      <c r="C3" t="inlineStr">
        <is>
          <t>needs_new_semantic</t>
        </is>
      </c>
      <c r="D3" t="inlineStr">
        <is>
          <t>Ready</t>
        </is>
      </c>
      <c r="E3" t="inlineStr">
        <is>
          <t>partial</t>
        </is>
      </c>
      <c r="F3" t="inlineStr">
        <is>
          <t>In Progress</t>
        </is>
      </c>
    </row>
    <row r="4">
      <c r="A4" t="inlineStr">
        <is>
          <t>Coverage.payor</t>
        </is>
      </c>
      <c r="B4" t="inlineStr"/>
      <c r="C4" t="inlineStr">
        <is>
          <t>out_of_scope</t>
        </is>
      </c>
      <c r="D4" t="inlineStr">
        <is>
          <t>Approved</t>
        </is>
      </c>
      <c r="E4" t="inlineStr">
        <is>
          <t>none</t>
        </is>
      </c>
      <c r="F4" t="inlineStr">
        <is>
          <t>Ready for Review</t>
        </is>
      </c>
    </row>
    <row r="5">
      <c r="A5" t="inlineStr">
        <is>
          <t>Encounter.class</t>
        </is>
      </c>
      <c r="B5" t="inlineStr"/>
      <c r="C5" t="inlineStr"/>
      <c r="D5" t="inlineStr">
        <is>
          <t>Needs Changes</t>
        </is>
      </c>
      <c r="E5" t="inlineStr">
        <is>
          <t>unknown</t>
        </is>
      </c>
      <c r="F5" t="inlineStr">
        <is>
          <t>Complete</t>
        </is>
      </c>
    </row>
    <row r="6">
      <c r="A6" t="inlineStr">
        <is>
          <t>Encounter.hospitalization.dischargeDisposition</t>
        </is>
      </c>
      <c r="B6" t="inlineStr"/>
      <c r="C6" t="inlineStr"/>
      <c r="D6" t="inlineStr"/>
      <c r="E6" t="inlineStr"/>
      <c r="F6" t="inlineStr"/>
    </row>
    <row r="7">
      <c r="A7" t="inlineStr">
        <is>
          <t>Encounter.identifier</t>
        </is>
      </c>
      <c r="B7" t="inlineStr"/>
      <c r="C7" t="inlineStr"/>
      <c r="D7" t="inlineStr"/>
      <c r="E7" t="inlineStr"/>
      <c r="F7" t="inlineStr"/>
    </row>
    <row r="8">
      <c r="A8" t="inlineStr">
        <is>
          <t>Encounter.location</t>
        </is>
      </c>
      <c r="B8" t="inlineStr"/>
      <c r="C8" t="inlineStr"/>
      <c r="D8" t="inlineStr"/>
      <c r="E8" t="inlineStr"/>
      <c r="F8" t="inlineStr"/>
    </row>
    <row r="9">
      <c r="A9" t="inlineStr">
        <is>
          <t>Encounter.participant</t>
        </is>
      </c>
      <c r="B9" t="inlineStr"/>
      <c r="C9" t="inlineStr"/>
      <c r="D9" t="inlineStr"/>
      <c r="E9" t="inlineStr"/>
      <c r="F9" t="inlineStr"/>
    </row>
    <row r="10">
      <c r="A10" t="inlineStr">
        <is>
          <t>Encounter.period.end</t>
        </is>
      </c>
      <c r="B10" t="inlineStr"/>
      <c r="C10" t="inlineStr"/>
      <c r="D10" t="inlineStr"/>
      <c r="E10" t="inlineStr"/>
      <c r="F10" t="inlineStr"/>
    </row>
    <row r="11">
      <c r="A11" t="inlineStr">
        <is>
          <t>Encounter.period.start</t>
        </is>
      </c>
      <c r="B11" t="inlineStr"/>
      <c r="C11" t="inlineStr"/>
      <c r="D11" t="inlineStr"/>
      <c r="E11" t="inlineStr"/>
      <c r="F11" t="inlineStr"/>
    </row>
    <row r="12">
      <c r="A12" t="inlineStr">
        <is>
          <t>Encounter.reasonCode</t>
        </is>
      </c>
      <c r="B12" t="inlineStr"/>
      <c r="C12" t="inlineStr"/>
      <c r="D12" t="inlineStr"/>
      <c r="E12" t="inlineStr"/>
      <c r="F12" t="inlineStr"/>
    </row>
    <row r="13">
      <c r="A13" t="inlineStr">
        <is>
          <t>Encounter.serviceProvider</t>
        </is>
      </c>
      <c r="B13" t="inlineStr"/>
      <c r="C13" t="inlineStr"/>
      <c r="D13" t="inlineStr"/>
      <c r="E13" t="inlineStr"/>
      <c r="F13" t="inlineStr"/>
    </row>
    <row r="14">
      <c r="A14" t="inlineStr">
        <is>
          <t>Encounter.serviceType</t>
        </is>
      </c>
      <c r="B14" t="inlineStr"/>
      <c r="C14" t="inlineStr"/>
      <c r="D14" t="inlineStr"/>
      <c r="E14" t="inlineStr"/>
      <c r="F14" t="inlineStr"/>
    </row>
    <row r="15">
      <c r="A15" t="inlineStr">
        <is>
          <t>Patient.address</t>
        </is>
      </c>
      <c r="B15" t="inlineStr"/>
      <c r="C15" t="inlineStr"/>
      <c r="D15" t="inlineStr"/>
      <c r="E15" t="inlineStr"/>
      <c r="F15" t="inlineStr"/>
    </row>
    <row r="16">
      <c r="A16" t="inlineStr">
        <is>
          <t>Patient.address_block</t>
        </is>
      </c>
      <c r="B16" t="inlineStr"/>
      <c r="C16" t="inlineStr"/>
      <c r="D16" t="inlineStr"/>
      <c r="E16" t="inlineStr"/>
      <c r="F16" t="inlineStr"/>
    </row>
    <row r="17">
      <c r="A17" t="inlineStr">
        <is>
          <t>Patient.address_city</t>
        </is>
      </c>
      <c r="B17" t="inlineStr"/>
      <c r="C17" t="inlineStr"/>
      <c r="D17" t="inlineStr"/>
      <c r="E17" t="inlineStr"/>
      <c r="F17" t="inlineStr"/>
    </row>
    <row r="18">
      <c r="A18" t="inlineStr">
        <is>
          <t>Patient.address_country</t>
        </is>
      </c>
      <c r="B18" t="inlineStr"/>
      <c r="C18" t="inlineStr"/>
      <c r="D18" t="inlineStr"/>
      <c r="E18" t="inlineStr"/>
      <c r="F18" t="inlineStr"/>
    </row>
    <row r="19">
      <c r="A19" t="inlineStr">
        <is>
          <t>Patient.address_district</t>
        </is>
      </c>
      <c r="B19" t="inlineStr"/>
      <c r="C19" t="inlineStr"/>
      <c r="D19" t="inlineStr"/>
      <c r="E19" t="inlineStr"/>
      <c r="F19" t="inlineStr"/>
    </row>
    <row r="20">
      <c r="A20" t="inlineStr">
        <is>
          <t>Patient.address_line1</t>
        </is>
      </c>
      <c r="B20" t="inlineStr"/>
      <c r="C20" t="inlineStr"/>
      <c r="D20" t="inlineStr"/>
      <c r="E20" t="inlineStr"/>
      <c r="F20" t="inlineStr"/>
    </row>
    <row r="21">
      <c r="A21" t="inlineStr">
        <is>
          <t>Patient.address_line2</t>
        </is>
      </c>
      <c r="B21" t="inlineStr"/>
      <c r="C21" t="inlineStr"/>
      <c r="D21" t="inlineStr"/>
      <c r="E21" t="inlineStr"/>
      <c r="F21" t="inlineStr"/>
    </row>
    <row r="22">
      <c r="A22" t="inlineStr">
        <is>
          <t>Patient.address_line3</t>
        </is>
      </c>
      <c r="B22" t="inlineStr"/>
      <c r="C22" t="inlineStr"/>
      <c r="D22" t="inlineStr"/>
      <c r="E22" t="inlineStr"/>
      <c r="F22" t="inlineStr"/>
    </row>
    <row r="23">
      <c r="A23" t="inlineStr">
        <is>
          <t>Patient.address_prev</t>
        </is>
      </c>
      <c r="B23" t="inlineStr"/>
      <c r="C23" t="inlineStr"/>
      <c r="D23" t="inlineStr"/>
      <c r="E23" t="inlineStr"/>
      <c r="F23" t="inlineStr"/>
    </row>
    <row r="24">
      <c r="A24" t="inlineStr">
        <is>
          <t>Patient.address_state</t>
        </is>
      </c>
      <c r="B24" t="inlineStr"/>
      <c r="C24" t="inlineStr"/>
      <c r="D24" t="inlineStr"/>
      <c r="E24" t="inlineStr"/>
      <c r="F24" t="inlineStr"/>
    </row>
    <row r="25">
      <c r="A25" t="inlineStr">
        <is>
          <t>Patient.address_zip</t>
        </is>
      </c>
      <c r="B25" t="inlineStr"/>
      <c r="C25" t="inlineStr"/>
      <c r="D25" t="inlineStr"/>
      <c r="E25" t="inlineStr"/>
      <c r="F25" t="inlineStr"/>
    </row>
    <row r="26">
      <c r="A26" t="inlineStr">
        <is>
          <t>Patient.birth_date</t>
        </is>
      </c>
      <c r="B26" t="inlineStr"/>
      <c r="C26" t="inlineStr"/>
      <c r="D26" t="inlineStr"/>
      <c r="E26" t="inlineStr"/>
      <c r="F26" t="inlineStr"/>
    </row>
    <row r="27">
      <c r="A27" t="inlineStr">
        <is>
          <t>Patient.birth_sex</t>
        </is>
      </c>
      <c r="B27" t="inlineStr"/>
      <c r="C27" t="inlineStr"/>
      <c r="D27" t="inlineStr"/>
      <c r="E27" t="inlineStr"/>
      <c r="F27" t="inlineStr"/>
    </row>
    <row r="28">
      <c r="A28" t="inlineStr">
        <is>
          <t>Patient.death_date</t>
        </is>
      </c>
      <c r="B28" t="inlineStr"/>
      <c r="C28" t="inlineStr"/>
      <c r="D28" t="inlineStr"/>
      <c r="E28" t="inlineStr"/>
      <c r="F28" t="inlineStr"/>
    </row>
    <row r="29">
      <c r="A29" t="inlineStr">
        <is>
          <t>Patient.email</t>
        </is>
      </c>
      <c r="B29" t="inlineStr"/>
      <c r="C29" t="inlineStr"/>
      <c r="D29" t="inlineStr"/>
      <c r="E29" t="inlineStr"/>
      <c r="F29" t="inlineStr"/>
    </row>
    <row r="30">
      <c r="A30" t="inlineStr">
        <is>
          <t>Patient.ethnicity</t>
        </is>
      </c>
      <c r="B30" t="inlineStr"/>
      <c r="C30" t="inlineStr"/>
      <c r="D30" t="inlineStr"/>
      <c r="E30" t="inlineStr"/>
      <c r="F30" t="inlineStr"/>
    </row>
    <row r="31">
      <c r="A31" t="inlineStr">
        <is>
          <t>Patient.gender_id</t>
        </is>
      </c>
      <c r="B31" t="inlineStr"/>
      <c r="C31" t="inlineStr"/>
      <c r="D31" t="inlineStr"/>
      <c r="E31" t="inlineStr"/>
      <c r="F31" t="inlineStr"/>
    </row>
    <row r="32">
      <c r="A32" t="inlineStr">
        <is>
          <t>Patient.housing_status</t>
        </is>
      </c>
      <c r="B32" t="inlineStr"/>
      <c r="C32" t="inlineStr"/>
      <c r="D32" t="inlineStr"/>
      <c r="E32" t="inlineStr"/>
      <c r="F32" t="inlineStr"/>
    </row>
    <row r="33">
      <c r="A33" t="inlineStr">
        <is>
          <t>Patient.language</t>
        </is>
      </c>
      <c r="B33" t="inlineStr"/>
      <c r="C33" t="inlineStr"/>
      <c r="D33" t="inlineStr"/>
      <c r="E33" t="inlineStr"/>
      <c r="F33" t="inlineStr"/>
    </row>
    <row r="34">
      <c r="A34" t="inlineStr">
        <is>
          <t>Patient.marital_status</t>
        </is>
      </c>
      <c r="B34" t="inlineStr"/>
      <c r="C34" t="inlineStr"/>
      <c r="D34" t="inlineStr"/>
      <c r="E34" t="inlineStr"/>
      <c r="F34" t="inlineStr"/>
    </row>
    <row r="35">
      <c r="A35" t="inlineStr">
        <is>
          <t>Patient.name_first</t>
        </is>
      </c>
      <c r="B35" t="inlineStr"/>
      <c r="C35" t="inlineStr"/>
      <c r="D35" t="inlineStr"/>
      <c r="E35" t="inlineStr"/>
      <c r="F35" t="inlineStr"/>
    </row>
    <row r="36">
      <c r="A36" t="inlineStr">
        <is>
          <t>Patient.name_last</t>
        </is>
      </c>
      <c r="B36" t="inlineStr"/>
      <c r="C36" t="inlineStr"/>
      <c r="D36" t="inlineStr"/>
      <c r="E36" t="inlineStr"/>
      <c r="F36" t="inlineStr"/>
    </row>
    <row r="37">
      <c r="A37" t="inlineStr">
        <is>
          <t>Patient.name_middle</t>
        </is>
      </c>
      <c r="B37" t="inlineStr"/>
      <c r="C37" t="inlineStr"/>
      <c r="D37" t="inlineStr"/>
      <c r="E37" t="inlineStr"/>
      <c r="F37" t="inlineStr"/>
    </row>
    <row r="38">
      <c r="A38" t="inlineStr">
        <is>
          <t>Patient.name_prev</t>
        </is>
      </c>
      <c r="B38" t="inlineStr"/>
      <c r="C38" t="inlineStr"/>
      <c r="D38" t="inlineStr"/>
      <c r="E38" t="inlineStr"/>
      <c r="F38" t="inlineStr"/>
    </row>
    <row r="39">
      <c r="A39" t="inlineStr">
        <is>
          <t>Patient.name_suffix</t>
        </is>
      </c>
      <c r="B39" t="inlineStr"/>
      <c r="C39" t="inlineStr"/>
      <c r="D39" t="inlineStr"/>
      <c r="E39" t="inlineStr"/>
      <c r="F39" t="inlineStr"/>
    </row>
    <row r="40">
      <c r="A40" t="inlineStr">
        <is>
          <t>Patient.occupation</t>
        </is>
      </c>
      <c r="B40" t="inlineStr"/>
      <c r="C40" t="inlineStr"/>
      <c r="D40" t="inlineStr"/>
      <c r="E40" t="inlineStr"/>
      <c r="F40" t="inlineStr"/>
    </row>
    <row r="41">
      <c r="A41" t="inlineStr">
        <is>
          <t>Patient.phone</t>
        </is>
      </c>
      <c r="B41" t="inlineStr"/>
      <c r="C41" t="inlineStr"/>
      <c r="D41" t="inlineStr"/>
      <c r="E41" t="inlineStr"/>
      <c r="F41" t="inlineStr"/>
    </row>
    <row r="42">
      <c r="A42" t="inlineStr">
        <is>
          <t>Patient.race</t>
        </is>
      </c>
      <c r="B42" t="inlineStr"/>
      <c r="C42" t="inlineStr"/>
      <c r="D42" t="inlineStr"/>
      <c r="E42" t="inlineStr"/>
      <c r="F42" t="inlineStr"/>
    </row>
    <row r="43">
      <c r="A43" t="inlineStr">
        <is>
          <t>Patient.related_person</t>
        </is>
      </c>
      <c r="B43" t="inlineStr"/>
      <c r="C43" t="inlineStr"/>
      <c r="D43" t="inlineStr"/>
      <c r="E43" t="inlineStr"/>
      <c r="F43" t="inlineStr"/>
    </row>
    <row r="44">
      <c r="A44" t="inlineStr">
        <is>
          <t>Patient.religion</t>
        </is>
      </c>
      <c r="B44" t="inlineStr"/>
      <c r="C44" t="inlineStr"/>
      <c r="D44" t="inlineStr"/>
      <c r="E44" t="inlineStr"/>
      <c r="F44" t="inlineStr"/>
    </row>
    <row r="45">
      <c r="A45" t="inlineStr">
        <is>
          <t>Patient.sexual_orient</t>
        </is>
      </c>
      <c r="B45" t="inlineStr"/>
      <c r="C45" t="inlineStr"/>
      <c r="D45" t="inlineStr"/>
      <c r="E45" t="inlineStr"/>
      <c r="F45" t="inlineStr"/>
    </row>
    <row r="46">
      <c r="A46" t="inlineStr">
        <is>
          <t>Patient.ssn</t>
        </is>
      </c>
      <c r="B46" t="inlineStr"/>
      <c r="C46" t="inlineStr"/>
      <c r="D46" t="inlineStr"/>
      <c r="E46" t="inlineStr"/>
      <c r="F46" t="inlineStr"/>
    </row>
    <row r="47">
      <c r="A47" t="inlineStr">
        <is>
          <t>Patient.tribal_affil</t>
        </is>
      </c>
      <c r="B47" t="inlineStr"/>
      <c r="C47" t="inlineStr"/>
      <c r="D47" t="inlineStr"/>
      <c r="E47" t="inlineStr"/>
      <c r="F47"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38" customWidth="1" min="1" max="1"/>
    <col width="31" customWidth="1" min="2" max="2"/>
    <col width="38" customWidth="1" min="3" max="3"/>
    <col width="27" customWidth="1" min="4" max="4"/>
    <col width="32" customWidth="1" min="5" max="5"/>
    <col width="12" customWidth="1" min="6" max="6"/>
    <col width="21" customWidth="1" min="7" max="7"/>
    <col width="12" customWidth="1" min="8" max="8"/>
    <col width="17" customWidth="1" min="9" max="9"/>
    <col width="14" customWidth="1" min="10" max="10"/>
    <col width="24" customWidth="1" min="11" max="11"/>
    <col width="17" customWidth="1" min="12" max="12"/>
    <col width="16" customWidth="1" min="13" max="13"/>
    <col width="20" customWidth="1" min="14" max="14"/>
    <col width="17" customWidth="1" min="15" max="15"/>
    <col width="22" customWidth="1" min="16" max="16"/>
    <col width="16" customWidth="1" min="17" max="17"/>
    <col width="21" customWidth="1" min="18" max="18"/>
    <col width="18" customWidth="1" min="19" max="19"/>
    <col width="18" customWidth="1" min="20" max="20"/>
    <col width="20" customWidth="1" min="21" max="21"/>
    <col width="23" customWidth="1" min="22" max="22"/>
  </cols>
  <sheetData>
    <row r="1">
      <c r="A1" s="4" t="inlineStr">
        <is>
          <t>semantic_id</t>
        </is>
      </c>
      <c r="B1" s="4" t="inlineStr">
        <is>
          <t>uscdi_element</t>
        </is>
      </c>
      <c r="C1" s="4" t="inlineStr">
        <is>
          <t>uscdi_description</t>
        </is>
      </c>
      <c r="D1" s="4" t="inlineStr">
        <is>
          <t>classification</t>
        </is>
      </c>
      <c r="E1" s="4" t="inlineStr">
        <is>
          <t>ruleset_category</t>
        </is>
      </c>
      <c r="F1" s="4" t="inlineStr">
        <is>
          <t>domain</t>
        </is>
      </c>
      <c r="G1" s="4" t="inlineStr">
        <is>
          <t>rollup_relationship</t>
        </is>
      </c>
      <c r="H1" s="4" t="inlineStr">
        <is>
          <t>is_rollup</t>
        </is>
      </c>
      <c r="I1" s="4" t="inlineStr">
        <is>
          <t>composite_group</t>
        </is>
      </c>
      <c r="J1" s="4" t="inlineStr">
        <is>
          <t>data_steward</t>
        </is>
      </c>
      <c r="K1" s="4" t="inlineStr">
        <is>
          <t>steward_contact</t>
        </is>
      </c>
      <c r="L1" s="4" t="inlineStr">
        <is>
          <t>approval_status</t>
        </is>
      </c>
      <c r="M1" s="4" t="inlineStr">
        <is>
          <t>schema_version</t>
        </is>
      </c>
      <c r="N1" s="4" t="inlineStr">
        <is>
          <t>last_modified_date</t>
        </is>
      </c>
      <c r="O1" s="4" t="inlineStr">
        <is>
          <t>identifier_type</t>
        </is>
      </c>
      <c r="P1" s="4" t="inlineStr">
        <is>
          <t>identifier_authority</t>
        </is>
      </c>
      <c r="Q1" s="4" t="inlineStr">
        <is>
          <t>hipaa_category</t>
        </is>
      </c>
      <c r="R1" s="4" t="inlineStr">
        <is>
          <t>fhir_security_label</t>
        </is>
      </c>
      <c r="S1" s="4" t="inlineStr">
        <is>
          <t>consent_category</t>
        </is>
      </c>
      <c r="T1" s="4" t="inlineStr">
        <is>
          <t>uscdi_data_class</t>
        </is>
      </c>
      <c r="U1" s="4" t="inlineStr">
        <is>
          <t>uscdi_data_element</t>
        </is>
      </c>
      <c r="V1" s="4" t="inlineStr">
        <is>
          <t>is_demographics_pilot</t>
        </is>
      </c>
    </row>
    <row r="2">
      <c r="A2" t="inlineStr">
        <is>
          <t>Patient.name_first</t>
        </is>
      </c>
      <c r="B2" t="inlineStr">
        <is>
          <t>First Name</t>
        </is>
      </c>
      <c r="C2" t="inlineStr">
        <is>
          <t>Patient's first/given name</t>
        </is>
      </c>
      <c r="D2" t="inlineStr">
        <is>
          <t>Master Demographics</t>
        </is>
      </c>
      <c r="E2" t="inlineStr">
        <is>
          <t>Static Identity</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no</t>
        </is>
      </c>
    </row>
    <row r="3">
      <c r="A3" t="inlineStr">
        <is>
          <t>Patient.name_last</t>
        </is>
      </c>
      <c r="B3" t="inlineStr">
        <is>
          <t>Last Name</t>
        </is>
      </c>
      <c r="C3" t="inlineStr">
        <is>
          <t>Patient's last/family name</t>
        </is>
      </c>
      <c r="D3" t="inlineStr">
        <is>
          <t>Master Demographics</t>
        </is>
      </c>
      <c r="E3" t="inlineStr">
        <is>
          <t>Static Identity</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no</t>
        </is>
      </c>
    </row>
    <row r="4">
      <c r="A4" t="inlineStr">
        <is>
          <t>Patient.name_middle</t>
        </is>
      </c>
      <c r="B4" t="inlineStr">
        <is>
          <t>Middle Name</t>
        </is>
      </c>
      <c r="C4" t="inlineStr">
        <is>
          <t>Patient's middle name(s)</t>
        </is>
      </c>
      <c r="D4" t="inlineStr">
        <is>
          <t>Master Demographics</t>
        </is>
      </c>
      <c r="E4" t="inlineStr">
        <is>
          <t>Static Identity</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no</t>
        </is>
      </c>
    </row>
    <row r="5">
      <c r="A5" t="inlineStr">
        <is>
          <t>Patient.name_suffix</t>
        </is>
      </c>
      <c r="B5" t="inlineStr">
        <is>
          <t>Suffix</t>
        </is>
      </c>
      <c r="C5" t="inlineStr">
        <is>
          <t>Name suffix (Jr., Sr., III, etc.)</t>
        </is>
      </c>
      <c r="D5" t="inlineStr">
        <is>
          <t>Master Demographics</t>
        </is>
      </c>
      <c r="E5" t="inlineStr">
        <is>
          <t>Static Identity</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no</t>
        </is>
      </c>
    </row>
    <row r="6">
      <c r="A6" t="inlineStr">
        <is>
          <t>Patient.name_prev</t>
        </is>
      </c>
      <c r="B6" t="inlineStr">
        <is>
          <t>Previous Name</t>
        </is>
      </c>
      <c r="C6" t="inlineStr">
        <is>
          <t>Prior legal names</t>
        </is>
      </c>
      <c r="D6" t="inlineStr">
        <is>
          <t>Master Demographics</t>
        </is>
      </c>
      <c r="E6" t="inlineStr">
        <is>
          <t>Static Identity</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no</t>
        </is>
      </c>
    </row>
    <row r="7">
      <c r="A7" t="inlineStr">
        <is>
          <t>Patient.birth_date</t>
        </is>
      </c>
      <c r="B7" t="inlineStr">
        <is>
          <t>Date of Birth</t>
        </is>
      </c>
      <c r="C7" t="inlineStr">
        <is>
          <t>Patient's birth date</t>
        </is>
      </c>
      <c r="D7" t="inlineStr">
        <is>
          <t>Master Demographics</t>
        </is>
      </c>
      <c r="E7" t="inlineStr">
        <is>
          <t>Static Identity</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no</t>
        </is>
      </c>
    </row>
    <row r="8">
      <c r="A8" t="inlineStr">
        <is>
          <t>Patient.death_date</t>
        </is>
      </c>
      <c r="B8" t="inlineStr">
        <is>
          <t>Date of Death</t>
        </is>
      </c>
      <c r="C8" t="inlineStr">
        <is>
          <t>Patient's date of death</t>
        </is>
      </c>
      <c r="D8" t="inlineStr">
        <is>
          <t>Master Demographics</t>
        </is>
      </c>
      <c r="E8" t="inlineStr">
        <is>
          <t>Static Identity (Vital Status)</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no</t>
        </is>
      </c>
    </row>
    <row r="9">
      <c r="A9" t="inlineStr">
        <is>
          <t>Patient.birth_sex</t>
        </is>
      </c>
      <c r="B9" t="inlineStr">
        <is>
          <t>Sex</t>
        </is>
      </c>
      <c r="C9" t="inlineStr">
        <is>
          <t>Sex assigned at birth</t>
        </is>
      </c>
      <c r="D9" t="inlineStr">
        <is>
          <t>Master Demographics</t>
        </is>
      </c>
      <c r="E9" t="inlineStr">
        <is>
          <t>Static Identity</t>
        </is>
      </c>
      <c r="F9" t="inlineStr"/>
      <c r="G9" t="inlineStr"/>
      <c r="H9" t="inlineStr"/>
      <c r="I9" t="inlineStr"/>
      <c r="J9" t="inlineStr">
        <is>
          <t>Ajay Prashar</t>
        </is>
      </c>
      <c r="K9" t="inlineStr">
        <is>
          <t>Ajay.Prashar@acgov.org</t>
        </is>
      </c>
      <c r="L9" t="inlineStr">
        <is>
          <t>Approved</t>
        </is>
      </c>
      <c r="M9" t="inlineStr"/>
      <c r="N9" t="inlineStr">
        <is>
          <t>2026-10-05</t>
        </is>
      </c>
      <c r="O9" t="inlineStr"/>
      <c r="P9" t="inlineStr"/>
      <c r="Q9" t="inlineStr">
        <is>
          <t>Demographics</t>
        </is>
      </c>
      <c r="R9" t="inlineStr"/>
      <c r="S9" t="inlineStr">
        <is>
          <t>ASCMI</t>
        </is>
      </c>
      <c r="T9" t="inlineStr"/>
      <c r="U9" t="inlineStr"/>
      <c r="V9" t="inlineStr">
        <is>
          <t>yes</t>
        </is>
      </c>
    </row>
    <row r="10">
      <c r="A10" t="inlineStr">
        <is>
          <t>Patient.gender_id</t>
        </is>
      </c>
      <c r="B10" t="inlineStr">
        <is>
          <t>Gender Identity</t>
        </is>
      </c>
      <c r="C10" t="inlineStr">
        <is>
          <t>Patient's current gender identity</t>
        </is>
      </c>
      <c r="D10" t="inlineStr">
        <is>
          <t>Master Demographics</t>
        </is>
      </c>
      <c r="E10" t="inlineStr">
        <is>
          <t>Dynamic Identity</t>
        </is>
      </c>
      <c r="F10" t="inlineStr"/>
      <c r="G10" t="inlineStr"/>
      <c r="H10" t="inlineStr"/>
      <c r="I10" t="inlineStr"/>
      <c r="J10" t="inlineStr">
        <is>
          <t>Ajay Prashar</t>
        </is>
      </c>
      <c r="K10" t="inlineStr">
        <is>
          <t>Ajay.Prashar@acgov.org</t>
        </is>
      </c>
      <c r="L10" t="inlineStr">
        <is>
          <t>Approved</t>
        </is>
      </c>
      <c r="M10" t="inlineStr"/>
      <c r="N10" t="inlineStr">
        <is>
          <t>2026-10-05</t>
        </is>
      </c>
      <c r="O10" t="inlineStr"/>
      <c r="P10" t="inlineStr"/>
      <c r="Q10" t="inlineStr">
        <is>
          <t>Demographics</t>
        </is>
      </c>
      <c r="R10" t="inlineStr"/>
      <c r="S10" t="inlineStr">
        <is>
          <t>ASCMI</t>
        </is>
      </c>
      <c r="T10" t="inlineStr"/>
      <c r="U10" t="inlineStr"/>
      <c r="V10" t="inlineStr">
        <is>
          <t>yes</t>
        </is>
      </c>
    </row>
    <row r="11">
      <c r="A11" t="inlineStr">
        <is>
          <t>Patient.sexual_orient</t>
        </is>
      </c>
      <c r="B11" t="inlineStr">
        <is>
          <t>Sexual Orientation</t>
        </is>
      </c>
      <c r="C11" t="inlineStr">
        <is>
          <t>Patient's sexual orientation</t>
        </is>
      </c>
      <c r="D11" t="inlineStr">
        <is>
          <t>Master Demographics</t>
        </is>
      </c>
      <c r="E11" t="inlineStr">
        <is>
          <t>Dynamic Identity</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no</t>
        </is>
      </c>
    </row>
    <row r="12">
      <c r="A12" t="inlineStr">
        <is>
          <t>Patient.race</t>
        </is>
      </c>
      <c r="B12" t="inlineStr">
        <is>
          <t>Race</t>
        </is>
      </c>
      <c r="C12" t="inlineStr">
        <is>
          <t>Patient's race(s)</t>
        </is>
      </c>
      <c r="D12" t="inlineStr">
        <is>
          <t>Master Demographics</t>
        </is>
      </c>
      <c r="E12" t="inlineStr">
        <is>
          <t>Static/Dynamic Identity</t>
        </is>
      </c>
      <c r="F12" t="inlineStr"/>
      <c r="G12" t="inlineStr"/>
      <c r="H12" t="inlineStr"/>
      <c r="I12" t="inlineStr"/>
      <c r="J12" t="inlineStr">
        <is>
          <t>Ajay Prashar</t>
        </is>
      </c>
      <c r="K12" t="inlineStr">
        <is>
          <t>Ajay.Prashar@acgov.org</t>
        </is>
      </c>
      <c r="L12" t="inlineStr">
        <is>
          <t>Approved</t>
        </is>
      </c>
      <c r="M12" t="inlineStr"/>
      <c r="N12" t="inlineStr">
        <is>
          <t>2026-10-05</t>
        </is>
      </c>
      <c r="O12" t="inlineStr"/>
      <c r="P12" t="inlineStr"/>
      <c r="Q12" t="inlineStr">
        <is>
          <t>Demographics</t>
        </is>
      </c>
      <c r="R12" t="inlineStr"/>
      <c r="S12" t="inlineStr">
        <is>
          <t>ASCMI</t>
        </is>
      </c>
      <c r="T12" t="inlineStr"/>
      <c r="U12" t="inlineStr"/>
      <c r="V12" t="inlineStr">
        <is>
          <t>yes</t>
        </is>
      </c>
    </row>
    <row r="13">
      <c r="A13" t="inlineStr">
        <is>
          <t>Patient.ethnicity</t>
        </is>
      </c>
      <c r="B13" t="inlineStr">
        <is>
          <t>Ethnicity</t>
        </is>
      </c>
      <c r="C13" t="inlineStr">
        <is>
          <t>Hispanic/Latino ethnicity</t>
        </is>
      </c>
      <c r="D13" t="inlineStr">
        <is>
          <t>Master Demographics</t>
        </is>
      </c>
      <c r="E13" t="inlineStr">
        <is>
          <t>Static/Dynamic Identity</t>
        </is>
      </c>
      <c r="F13" t="inlineStr"/>
      <c r="G13" t="inlineStr"/>
      <c r="H13" t="inlineStr"/>
      <c r="I13" t="inlineStr"/>
      <c r="J13" t="inlineStr">
        <is>
          <t>Ajay Prashar</t>
        </is>
      </c>
      <c r="K13" t="inlineStr">
        <is>
          <t>Ajay.Prashar@acgov.org</t>
        </is>
      </c>
      <c r="L13" t="inlineStr">
        <is>
          <t>Approved</t>
        </is>
      </c>
      <c r="M13" t="inlineStr"/>
      <c r="N13" t="inlineStr">
        <is>
          <t>2026-10-05</t>
        </is>
      </c>
      <c r="O13" t="inlineStr"/>
      <c r="P13" t="inlineStr"/>
      <c r="Q13" t="inlineStr">
        <is>
          <t>Demographics</t>
        </is>
      </c>
      <c r="R13" t="inlineStr"/>
      <c r="S13" t="inlineStr">
        <is>
          <t>ASCMI</t>
        </is>
      </c>
      <c r="T13" t="inlineStr"/>
      <c r="U13" t="inlineStr"/>
      <c r="V13" t="inlineStr">
        <is>
          <t>yes</t>
        </is>
      </c>
    </row>
    <row r="14">
      <c r="A14" t="inlineStr">
        <is>
          <t>Patient.language</t>
        </is>
      </c>
      <c r="B14" t="inlineStr">
        <is>
          <t>Preferred Language</t>
        </is>
      </c>
      <c r="C14" t="inlineStr">
        <is>
          <t>Patient's preferred language for communication</t>
        </is>
      </c>
      <c r="D14" t="inlineStr">
        <is>
          <t>Master Demographics</t>
        </is>
      </c>
      <c r="E14" t="inlineStr">
        <is>
          <t>Dynamic Identity</t>
        </is>
      </c>
      <c r="F14" t="inlineStr"/>
      <c r="G14" t="inlineStr"/>
      <c r="H14" t="inlineStr"/>
      <c r="I14" t="inlineStr"/>
      <c r="J14" t="inlineStr">
        <is>
          <t>Ajay Prashar</t>
        </is>
      </c>
      <c r="K14" t="inlineStr">
        <is>
          <t>Ajay.Prashar@acgov.org</t>
        </is>
      </c>
      <c r="L14" t="inlineStr">
        <is>
          <t>Approved</t>
        </is>
      </c>
      <c r="M14" t="inlineStr"/>
      <c r="N14" t="inlineStr">
        <is>
          <t>2026-10-05</t>
        </is>
      </c>
      <c r="O14" t="inlineStr"/>
      <c r="P14" t="inlineStr"/>
      <c r="Q14" t="inlineStr">
        <is>
          <t>Demographics</t>
        </is>
      </c>
      <c r="R14" t="inlineStr"/>
      <c r="S14" t="inlineStr">
        <is>
          <t>ASCMI</t>
        </is>
      </c>
      <c r="T14" t="inlineStr"/>
      <c r="U14" t="inlineStr"/>
      <c r="V14" t="inlineStr">
        <is>
          <t>yes</t>
        </is>
      </c>
    </row>
    <row r="15">
      <c r="A15" t="inlineStr">
        <is>
          <t>Patient.marital_status</t>
        </is>
      </c>
      <c r="B15" t="inlineStr">
        <is>
          <t>Marital Status</t>
        </is>
      </c>
      <c r="C15" t="inlineStr">
        <is>
          <t>Current marital status</t>
        </is>
      </c>
      <c r="D15" t="inlineStr">
        <is>
          <t>Master Demographics</t>
        </is>
      </c>
      <c r="E15" t="inlineStr">
        <is>
          <t>Dynamic Identity</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no</t>
        </is>
      </c>
    </row>
    <row r="16">
      <c r="A16" t="inlineStr">
        <is>
          <t>Patient.religion</t>
        </is>
      </c>
      <c r="B16" t="inlineStr">
        <is>
          <t>Religion</t>
        </is>
      </c>
      <c r="C16" t="inlineStr">
        <is>
          <t>Religious affiliation</t>
        </is>
      </c>
      <c r="D16" t="inlineStr">
        <is>
          <t>Master Demographics</t>
        </is>
      </c>
      <c r="E16" t="inlineStr">
        <is>
          <t>Static/Dynamic Identity</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no</t>
        </is>
      </c>
    </row>
    <row r="17">
      <c r="A17" t="inlineStr">
        <is>
          <t>Patient.address</t>
        </is>
      </c>
      <c r="B17" t="inlineStr">
        <is>
          <t>Address (Full)</t>
        </is>
      </c>
      <c r="C17" t="inlineStr">
        <is>
          <t>Current residential address - all components selected as coherent set</t>
        </is>
      </c>
      <c r="D17" t="inlineStr">
        <is>
          <t>Master Demographics</t>
        </is>
      </c>
      <c r="E17" t="inlineStr">
        <is>
          <t>Dynamic Contact</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no</t>
        </is>
      </c>
    </row>
    <row r="18">
      <c r="A18" t="inlineStr">
        <is>
          <t>Patient.address_line1</t>
        </is>
      </c>
      <c r="B18" t="inlineStr">
        <is>
          <t>Address Line 1</t>
        </is>
      </c>
      <c r="C18" t="inlineStr">
        <is>
          <t>Street address (primary line)</t>
        </is>
      </c>
      <c r="D18" t="inlineStr">
        <is>
          <t>Master Demographics</t>
        </is>
      </c>
      <c r="E18" t="inlineStr">
        <is>
          <t>Dynamic Contact</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no</t>
        </is>
      </c>
    </row>
    <row r="19">
      <c r="A19" t="inlineStr">
        <is>
          <t>Patient.address_line2</t>
        </is>
      </c>
      <c r="B19" t="inlineStr">
        <is>
          <t>Address Line 2</t>
        </is>
      </c>
      <c r="C19" t="inlineStr">
        <is>
          <t>Apartment, suite, unit</t>
        </is>
      </c>
      <c r="D19" t="inlineStr">
        <is>
          <t>Master Demographics</t>
        </is>
      </c>
      <c r="E19" t="inlineStr">
        <is>
          <t>Dynamic Contact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no</t>
        </is>
      </c>
    </row>
    <row r="20">
      <c r="A20" t="inlineStr">
        <is>
          <t>Patient.address_line3</t>
        </is>
      </c>
      <c r="B20" t="inlineStr">
        <is>
          <t>Address Line 3</t>
        </is>
      </c>
      <c r="C20" t="inlineStr">
        <is>
          <t>Additional address detail</t>
        </is>
      </c>
      <c r="D20" t="inlineStr">
        <is>
          <t>Master Demographics</t>
        </is>
      </c>
      <c r="E20" t="inlineStr">
        <is>
          <t>Dynamic Contact</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no</t>
        </is>
      </c>
    </row>
    <row r="21">
      <c r="A21" t="inlineStr">
        <is>
          <t>Patient.address_city</t>
        </is>
      </c>
      <c r="B21" t="inlineStr">
        <is>
          <t>City</t>
        </is>
      </c>
      <c r="C21" t="inlineStr">
        <is>
          <t>City name</t>
        </is>
      </c>
      <c r="D21" t="inlineStr">
        <is>
          <t>Master Demographics</t>
        </is>
      </c>
      <c r="E21" t="inlineStr">
        <is>
          <t>Dynamic Contact</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no</t>
        </is>
      </c>
    </row>
    <row r="22">
      <c r="A22" t="inlineStr">
        <is>
          <t>Patient.address_state</t>
        </is>
      </c>
      <c r="B22" t="inlineStr">
        <is>
          <t>State</t>
        </is>
      </c>
      <c r="C22" t="inlineStr">
        <is>
          <t>State/Province</t>
        </is>
      </c>
      <c r="D22" t="inlineStr">
        <is>
          <t>Master Demographics</t>
        </is>
      </c>
      <c r="E22" t="inlineStr">
        <is>
          <t>Dynamic Contact</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no</t>
        </is>
      </c>
    </row>
    <row r="23">
      <c r="A23" t="inlineStr">
        <is>
          <t>Patient.address_zip</t>
        </is>
      </c>
      <c r="B23" t="inlineStr">
        <is>
          <t>Zip Code</t>
        </is>
      </c>
      <c r="C23" t="inlineStr">
        <is>
          <t>ZIP/Postal code</t>
        </is>
      </c>
      <c r="D23" t="inlineStr">
        <is>
          <t>Master Demographics</t>
        </is>
      </c>
      <c r="E23" t="inlineStr">
        <is>
          <t>Dynamic Contact</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no</t>
        </is>
      </c>
    </row>
    <row r="24">
      <c r="A24" t="inlineStr">
        <is>
          <t>Patient.address_country</t>
        </is>
      </c>
      <c r="B24" t="inlineStr">
        <is>
          <t>Country</t>
        </is>
      </c>
      <c r="C24" t="inlineStr">
        <is>
          <t>Country</t>
        </is>
      </c>
      <c r="D24" t="inlineStr">
        <is>
          <t>Master Demographics</t>
        </is>
      </c>
      <c r="E24" t="inlineStr">
        <is>
          <t>Dynamic Contact</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no</t>
        </is>
      </c>
    </row>
    <row r="25">
      <c r="A25" t="inlineStr">
        <is>
          <t>Patient.address_block</t>
        </is>
      </c>
      <c r="B25" t="inlineStr">
        <is>
          <t>Census Block</t>
        </is>
      </c>
      <c r="C25" t="inlineStr">
        <is>
          <t>Census block-level geography</t>
        </is>
      </c>
      <c r="D25" t="inlineStr">
        <is>
          <t>Master Demographics</t>
        </is>
      </c>
      <c r="E25" t="inlineStr">
        <is>
          <t>Calculated from Address</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no</t>
        </is>
      </c>
    </row>
    <row r="26">
      <c r="A26" t="inlineStr">
        <is>
          <t>Patient.address_district</t>
        </is>
      </c>
      <c r="B26" t="inlineStr">
        <is>
          <t>Board of Supervisors District</t>
        </is>
      </c>
      <c r="C26" t="inlineStr">
        <is>
          <t>Political district</t>
        </is>
      </c>
      <c r="D26" t="inlineStr">
        <is>
          <t>Master Demographics</t>
        </is>
      </c>
      <c r="E26" t="inlineStr">
        <is>
          <t>Calculated from Address</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no</t>
        </is>
      </c>
    </row>
    <row r="27">
      <c r="A27" t="inlineStr">
        <is>
          <t>Patient.address_prev</t>
        </is>
      </c>
      <c r="B27" t="inlineStr">
        <is>
          <t>Previous Address</t>
        </is>
      </c>
      <c r="C27" t="inlineStr">
        <is>
          <t>Prior residential addresses</t>
        </is>
      </c>
      <c r="D27" t="inlineStr">
        <is>
          <t>Master Demographics</t>
        </is>
      </c>
      <c r="E27" t="inlineStr">
        <is>
          <t>Dynamic Contact</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no</t>
        </is>
      </c>
    </row>
    <row r="28">
      <c r="A28" t="inlineStr">
        <is>
          <t>Patient.phone</t>
        </is>
      </c>
      <c r="B28" t="inlineStr">
        <is>
          <t>Phone Number</t>
        </is>
      </c>
      <c r="C28" t="inlineStr">
        <is>
          <t>Contact telephone number(s)</t>
        </is>
      </c>
      <c r="D28" t="inlineStr">
        <is>
          <t>Master Demographics</t>
        </is>
      </c>
      <c r="E28" t="inlineStr">
        <is>
          <t>Dynamic Contact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no</t>
        </is>
      </c>
    </row>
    <row r="29">
      <c r="A29" t="inlineStr">
        <is>
          <t>Patient.email</t>
        </is>
      </c>
      <c r="B29" t="inlineStr">
        <is>
          <t>Email</t>
        </is>
      </c>
      <c r="C29" t="inlineStr">
        <is>
          <t>Email address</t>
        </is>
      </c>
      <c r="D29" t="inlineStr">
        <is>
          <t>Master Demographics</t>
        </is>
      </c>
      <c r="E29" t="inlineStr">
        <is>
          <t>Dynamic Contact</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no</t>
        </is>
      </c>
    </row>
    <row r="30">
      <c r="A30" t="inlineStr">
        <is>
          <t>Patient.ssn</t>
        </is>
      </c>
      <c r="B30" t="inlineStr">
        <is>
          <t>Social Security Number</t>
        </is>
      </c>
      <c r="C30" t="inlineStr">
        <is>
          <t>SSN</t>
        </is>
      </c>
      <c r="D30" t="inlineStr">
        <is>
          <t>Master Demographics</t>
        </is>
      </c>
      <c r="E30" t="inlineStr">
        <is>
          <t>Static Identity</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no</t>
        </is>
      </c>
    </row>
    <row r="31">
      <c r="A31" t="inlineStr">
        <is>
          <t>Patient.related_person</t>
        </is>
      </c>
      <c r="B31" t="inlineStr">
        <is>
          <t>Related Persons</t>
        </is>
      </c>
      <c r="C31" t="inlineStr">
        <is>
          <t>Emergency contacts, next of kin, caregivers</t>
        </is>
      </c>
      <c r="D31" t="inlineStr">
        <is>
          <t>Master Demographics</t>
        </is>
      </c>
      <c r="E31" t="inlineStr">
        <is>
          <t>Dynamic Relationship</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no</t>
        </is>
      </c>
    </row>
    <row r="32">
      <c r="A32" t="inlineStr">
        <is>
          <t>Patient.tribal_affil</t>
        </is>
      </c>
      <c r="B32" t="inlineStr">
        <is>
          <t>Tribal Affiliation</t>
        </is>
      </c>
      <c r="C32" t="inlineStr">
        <is>
          <t>Affiliated tribe(s) for AI/AN patients</t>
        </is>
      </c>
      <c r="D32" t="inlineStr">
        <is>
          <t>Master Demographics</t>
        </is>
      </c>
      <c r="E32" t="inlineStr">
        <is>
          <t>Static/Dynamic Identity</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no</t>
        </is>
      </c>
    </row>
    <row r="33">
      <c r="A33" t="inlineStr">
        <is>
          <t>Patient.housing_status</t>
        </is>
      </c>
      <c r="B33" t="inlineStr">
        <is>
          <t>Housing Status</t>
        </is>
      </c>
      <c r="C33" t="inlineStr">
        <is>
          <t>Current housing situation (housed, homeless, unstably housed, etc.)</t>
        </is>
      </c>
      <c r="D33" t="inlineStr">
        <is>
          <t>Master Patient Attributes</t>
        </is>
      </c>
      <c r="E33" t="inlineStr">
        <is>
          <t>Calculated Temporal</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no</t>
        </is>
      </c>
    </row>
    <row r="34">
      <c r="A34" t="inlineStr">
        <is>
          <t>Patient.occupation</t>
        </is>
      </c>
      <c r="B34" t="inlineStr">
        <is>
          <t>Occupation</t>
        </is>
      </c>
      <c r="C34" t="inlineStr">
        <is>
          <t>Patient's occupation/employment</t>
        </is>
      </c>
      <c r="D34" t="inlineStr">
        <is>
          <t>Master Patient Attributes</t>
        </is>
      </c>
      <c r="E34" t="inlineStr">
        <is>
          <t>Calculated Temporal</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no</t>
        </is>
      </c>
    </row>
    <row r="35">
      <c r="A35" t="inlineStr">
        <is>
          <t>Encounter.class</t>
        </is>
      </c>
      <c r="B35" t="inlineStr">
        <is>
          <t>Encounter Class</t>
        </is>
      </c>
      <c r="C35" t="inlineStr">
        <is>
          <t>Encounter type (inpatient, outpatient, emergency, etc.)</t>
        </is>
      </c>
      <c r="D35" t="inlineStr">
        <is>
          <t>Encounter</t>
        </is>
      </c>
      <c r="E35" t="inlineStr">
        <is>
          <t>Encounter Identity</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no</t>
        </is>
      </c>
    </row>
    <row r="36">
      <c r="A36" t="inlineStr">
        <is>
          <t>Encounter.serviceProvider</t>
        </is>
      </c>
      <c r="B36" t="inlineStr">
        <is>
          <t>Encounter Service Provider</t>
        </is>
      </c>
      <c r="C36" t="inlineStr">
        <is>
          <t>Facility or organization providing the encounter</t>
        </is>
      </c>
      <c r="D36" t="inlineStr">
        <is>
          <t>Encounter</t>
        </is>
      </c>
      <c r="E36" t="inlineStr">
        <is>
          <t>Encounter Identity</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is>
          <t>no</t>
        </is>
      </c>
    </row>
    <row r="37">
      <c r="A37" t="inlineStr">
        <is>
          <t>Encounter.identifier</t>
        </is>
      </c>
      <c r="B37" t="inlineStr">
        <is>
          <t>Encounter Identifier</t>
        </is>
      </c>
      <c r="C37" t="inlineStr">
        <is>
          <t>Unique encounter ID from EMR</t>
        </is>
      </c>
      <c r="D37" t="inlineStr">
        <is>
          <t>Encounter</t>
        </is>
      </c>
      <c r="E37" t="inlineStr">
        <is>
          <t>Encounter Identity</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no</t>
        </is>
      </c>
    </row>
    <row r="38">
      <c r="A38" t="inlineStr">
        <is>
          <t>Encounter.period.start</t>
        </is>
      </c>
      <c r="B38" t="inlineStr">
        <is>
          <t>Encounter Start</t>
        </is>
      </c>
      <c r="C38" t="inlineStr">
        <is>
          <t>Encounter start date/time</t>
        </is>
      </c>
      <c r="D38" t="inlineStr">
        <is>
          <t>Encounter</t>
        </is>
      </c>
      <c r="E38" t="inlineStr">
        <is>
          <t>Encounter Timing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no</t>
        </is>
      </c>
    </row>
    <row r="39">
      <c r="A39" t="inlineStr">
        <is>
          <t>Encounter.period.end</t>
        </is>
      </c>
      <c r="B39" t="inlineStr">
        <is>
          <t>Encounter End</t>
        </is>
      </c>
      <c r="C39" t="inlineStr">
        <is>
          <t>Encounter end date/time</t>
        </is>
      </c>
      <c r="D39" t="inlineStr">
        <is>
          <t>Encounter</t>
        </is>
      </c>
      <c r="E39" t="inlineStr">
        <is>
          <t>Encounter Timing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no</t>
        </is>
      </c>
    </row>
    <row r="40">
      <c r="A40" t="inlineStr">
        <is>
          <t>Encounter.hospitalization.dischargeDisposition</t>
        </is>
      </c>
      <c r="B40" t="inlineStr">
        <is>
          <t>Discharge Disposition</t>
        </is>
      </c>
      <c r="C40" t="inlineStr">
        <is>
          <t>Discharge disposition code</t>
        </is>
      </c>
      <c r="D40" t="inlineStr">
        <is>
          <t>Encounter</t>
        </is>
      </c>
      <c r="E40" t="inlineStr">
        <is>
          <t>Encounter Timing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no</t>
        </is>
      </c>
    </row>
    <row r="41">
      <c r="A41" t="inlineStr">
        <is>
          <t>Encounter.reasonCode</t>
        </is>
      </c>
      <c r="B41" t="inlineStr">
        <is>
          <t>Encounter Reason</t>
        </is>
      </c>
      <c r="C41" t="inlineStr">
        <is>
          <t>Reason for encounter / chief complaint</t>
        </is>
      </c>
      <c r="D41" t="inlineStr">
        <is>
          <t>Encounter</t>
        </is>
      </c>
      <c r="E41" t="inlineStr">
        <is>
          <t>Encounter Identity</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is>
          <t>no</t>
        </is>
      </c>
    </row>
    <row r="42">
      <c r="A42" t="inlineStr">
        <is>
          <t>Encounter.location</t>
        </is>
      </c>
      <c r="B42" t="inlineStr">
        <is>
          <t>Encounter Location</t>
        </is>
      </c>
      <c r="C42" t="inlineStr">
        <is>
          <t>Point of care / room / bed</t>
        </is>
      </c>
      <c r="D42" t="inlineStr">
        <is>
          <t>Encounter</t>
        </is>
      </c>
      <c r="E42" t="inlineStr">
        <is>
          <t>Encounter Identity</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is>
          <t>no</t>
        </is>
      </c>
    </row>
    <row r="43">
      <c r="A43" t="inlineStr">
        <is>
          <t>Encounter.serviceType</t>
        </is>
      </c>
      <c r="B43" t="inlineStr">
        <is>
          <t>Encounter Service Type</t>
        </is>
      </c>
      <c r="C43" t="inlineStr">
        <is>
          <t>Service type code</t>
        </is>
      </c>
      <c r="D43" t="inlineStr">
        <is>
          <t>Encounter</t>
        </is>
      </c>
      <c r="E43" t="inlineStr">
        <is>
          <t>Encounter Identity</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no</t>
        </is>
      </c>
    </row>
    <row r="44">
      <c r="A44" t="inlineStr">
        <is>
          <t>Encounter.participant</t>
        </is>
      </c>
      <c r="B44" t="inlineStr">
        <is>
          <t>Encounter Participant</t>
        </is>
      </c>
      <c r="C44" t="inlineStr">
        <is>
          <t>PCP or other participating practitioner</t>
        </is>
      </c>
      <c r="D44" t="inlineStr">
        <is>
          <t>Encounter</t>
        </is>
      </c>
      <c r="E44" t="inlineStr">
        <is>
          <t>Encounter Identity</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no</t>
        </is>
      </c>
    </row>
    <row r="45">
      <c r="A45" t="inlineStr">
        <is>
          <t>Coverage.identifier</t>
        </is>
      </c>
      <c r="B45" t="inlineStr">
        <is>
          <t>Insurance Plan ID</t>
        </is>
      </c>
      <c r="C45" t="inlineStr">
        <is>
          <t>Insurance plan identifier</t>
        </is>
      </c>
      <c r="D45" t="inlineStr">
        <is>
          <t>Coverage</t>
        </is>
      </c>
      <c r="E45" t="inlineStr">
        <is>
          <t>Coverage Identity</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is>
          <t>no</t>
        </is>
      </c>
    </row>
    <row r="46">
      <c r="A46" t="inlineStr">
        <is>
          <t>Coverage.payor</t>
        </is>
      </c>
      <c r="B46" t="inlineStr">
        <is>
          <t>Payer Name</t>
        </is>
      </c>
      <c r="C46" t="inlineStr">
        <is>
          <t>Payer / insurance company name</t>
        </is>
      </c>
      <c r="D46" t="inlineStr">
        <is>
          <t>Coverage</t>
        </is>
      </c>
      <c r="E46" t="inlineStr">
        <is>
          <t>Coverage Identity</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is>
          <t>no</t>
        </is>
      </c>
    </row>
    <row r="47">
      <c r="A47" t="inlineStr">
        <is>
          <t>Condition.code</t>
        </is>
      </c>
      <c r="B47" t="inlineStr">
        <is>
          <t>Condition Code</t>
        </is>
      </c>
      <c r="C47" t="inlineStr">
        <is>
          <t>Diagnosis code and coding system</t>
        </is>
      </c>
      <c r="D47" t="inlineStr">
        <is>
          <t>Condition</t>
        </is>
      </c>
      <c r="E47" t="inlineStr">
        <is>
          <t>Condition Identity</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is>
          <t>no</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19" customWidth="1" min="7" max="7"/>
    <col width="19" customWidth="1" min="8" max="8"/>
    <col width="22" customWidth="1" min="9" max="9"/>
    <col width="19" customWidth="1" min="10" max="10"/>
    <col width="38" customWidth="1" min="11" max="11"/>
    <col width="18" customWidth="1" min="12" max="12"/>
    <col width="27" customWidth="1" min="13" max="13"/>
    <col width="18" customWidth="1" min="14" max="14"/>
    <col width="28" customWidth="1" min="15" max="15"/>
    <col width="25" customWidth="1" min="16" max="16"/>
    <col width="26" customWidth="1" min="17" max="17"/>
    <col width="38" customWidth="1" min="18" max="18"/>
  </cols>
  <sheetData>
    <row r="1">
      <c r="A1" s="4" t="inlineStr">
        <is>
          <t>semantic_id</t>
        </is>
      </c>
      <c r="B1" s="4" t="inlineStr">
        <is>
          <t>data_source_rank_reference</t>
        </is>
      </c>
      <c r="C1" s="4" t="inlineStr">
        <is>
          <t>innovaccer_survivorship_logic</t>
        </is>
      </c>
      <c r="D1" s="4" t="inlineStr">
        <is>
          <t>data_quality_notes</t>
        </is>
      </c>
      <c r="E1" s="4" t="inlineStr">
        <is>
          <t>fhir_r4_path</t>
        </is>
      </c>
      <c r="F1" s="4" t="inlineStr">
        <is>
          <t>fhir_data_type</t>
        </is>
      </c>
      <c r="G1" s="4" t="inlineStr">
        <is>
          <t>calculation_grain</t>
        </is>
      </c>
      <c r="H1" s="4" t="inlineStr">
        <is>
          <t>historical_freeze</t>
        </is>
      </c>
      <c r="I1" s="4" t="inlineStr">
        <is>
          <t>recalc_window_months</t>
        </is>
      </c>
      <c r="J1" s="4" t="inlineStr">
        <is>
          <t>fhir_must_support</t>
        </is>
      </c>
      <c r="K1" s="4" t="inlineStr">
        <is>
          <t>fhir_profile</t>
        </is>
      </c>
      <c r="L1" s="4" t="inlineStr">
        <is>
          <t>fhir_cardinality</t>
        </is>
      </c>
      <c r="M1" s="4" t="inlineStr">
        <is>
          <t>identity_resolution_notes</t>
        </is>
      </c>
      <c r="N1" s="4" t="inlineStr">
        <is>
          <t>tie_breaker_rule</t>
        </is>
      </c>
      <c r="O1" s="4" t="inlineStr">
        <is>
          <t>conflict_detection_enabled</t>
        </is>
      </c>
      <c r="P1" s="4" t="inlineStr">
        <is>
          <t>manual_override_allowed</t>
        </is>
      </c>
      <c r="Q1" s="4" t="inlineStr">
        <is>
          <t>de_identification_method</t>
        </is>
      </c>
      <c r="R1" s="4" t="inlineStr">
        <is>
          <t>chi_survivorship_logic</t>
        </is>
      </c>
    </row>
    <row r="2">
      <c r="A2" t="inlineStr">
        <is>
          <t>Patient.name_first</t>
        </is>
      </c>
      <c r="B2" t="inlineStr">
        <is>
          <t>Mark's Table 2 (Names)</t>
        </is>
      </c>
      <c r="C2" t="inlineStr">
        <is>
          <t>Ask Innovaccer what logic they use to arrive at SBR</t>
        </is>
      </c>
      <c r="D2" t="inlineStr">
        <is>
          <t>Ignore Verato anonymous_list entries; PRIORITY: HumanName.use='official' &gt; 'usual', explicitly exclude .use='old'</t>
        </is>
      </c>
      <c r="E2" t="inlineStr">
        <is>
          <t>Patient.name.given</t>
        </is>
      </c>
      <c r="F2" t="inlineStr">
        <is>
          <t>HumanName.given[0] (string)</t>
        </is>
      </c>
      <c r="G2" t="inlineStr"/>
      <c r="H2" t="inlineStr"/>
      <c r="I2" t="inlineStr"/>
      <c r="J2" t="inlineStr"/>
      <c r="K2" t="inlineStr">
        <is>
          <t>http://hl7.org/fhir/us/core/StructureDefinition/us-core-patient</t>
        </is>
      </c>
      <c r="L2" t="inlineStr"/>
      <c r="M2" t="inlineStr"/>
      <c r="N2" t="inlineStr"/>
      <c r="O2" t="inlineStr"/>
      <c r="P2" t="inlineStr"/>
      <c r="Q2" t="inlineStr"/>
      <c r="R2" t="inlineStr">
        <is>
          <t>Most complete (full name &gt; initial), most recent user entry as tiebreaker, ignore anonymous values</t>
        </is>
      </c>
    </row>
    <row r="3">
      <c r="A3" t="inlineStr">
        <is>
          <t>Patient.name_last</t>
        </is>
      </c>
      <c r="B3" t="inlineStr">
        <is>
          <t>Mark's Table 2 (Names)</t>
        </is>
      </c>
      <c r="C3" t="inlineStr">
        <is>
          <t>Ask Innovaccer what logic they use to arrive at SBR</t>
        </is>
      </c>
      <c r="D3" t="inlineStr">
        <is>
          <t>Ignore Verato anonymous_list entries; PRIORITY: HumanName.use='official' &gt; 'usual', explicitly exclude .use='old'</t>
        </is>
      </c>
      <c r="E3" t="inlineStr">
        <is>
          <t>Patient.name.family</t>
        </is>
      </c>
      <c r="F3" t="inlineStr">
        <is>
          <t>HumanName.family (string)</t>
        </is>
      </c>
      <c r="G3" t="inlineStr"/>
      <c r="H3" t="inlineStr"/>
      <c r="I3" t="inlineStr"/>
      <c r="J3" t="inlineStr"/>
      <c r="K3" t="inlineStr">
        <is>
          <t>http://hl7.org/fhir/us/core/StructureDefinition/us-core-patient</t>
        </is>
      </c>
      <c r="L3" t="inlineStr"/>
      <c r="M3" t="inlineStr"/>
      <c r="N3" t="inlineStr"/>
      <c r="O3" t="inlineStr"/>
      <c r="P3" t="inlineStr"/>
      <c r="Q3" t="inlineStr"/>
      <c r="R3" t="inlineStr">
        <is>
          <t>Most complete, most recent user entry as tiebreaker, ignore anonymous values</t>
        </is>
      </c>
    </row>
    <row r="4">
      <c r="A4" t="inlineStr">
        <is>
          <t>Patient.name_middle</t>
        </is>
      </c>
      <c r="B4" t="inlineStr">
        <is>
          <t>Mark's Table 2 (Names)</t>
        </is>
      </c>
      <c r="C4" t="inlineStr">
        <is>
          <t>Ask Innovaccer what logic they use to arrive at SBR</t>
        </is>
      </c>
      <c r="D4" t="inlineStr">
        <is>
          <t>Full name beats initial; PRIORITY: HumanName.use='official' &gt; 'usual', explicitly exclude .use='old'</t>
        </is>
      </c>
      <c r="E4" t="inlineStr">
        <is>
          <t>Patient.name.given</t>
        </is>
      </c>
      <c r="F4" t="inlineStr">
        <is>
          <t>HumanName.given[1+] (string array)</t>
        </is>
      </c>
      <c r="G4" t="inlineStr"/>
      <c r="H4" t="inlineStr"/>
      <c r="I4" t="inlineStr"/>
      <c r="J4" t="inlineStr"/>
      <c r="K4" t="inlineStr">
        <is>
          <t>http://hl7.org/fhir/us/core/StructureDefinition/us-core-patient</t>
        </is>
      </c>
      <c r="L4" t="inlineStr"/>
      <c r="M4" t="inlineStr"/>
      <c r="N4" t="inlineStr"/>
      <c r="O4" t="inlineStr"/>
      <c r="P4" t="inlineStr"/>
      <c r="Q4" t="inlineStr"/>
      <c r="R4" t="inlineStr">
        <is>
          <t>Complete middle name &gt; initial &gt; null, most recent as tiebreaker</t>
        </is>
      </c>
    </row>
    <row r="5">
      <c r="A5" t="inlineStr">
        <is>
          <t>Patient.name_suffix</t>
        </is>
      </c>
      <c r="B5" t="inlineStr">
        <is>
          <t>Mark's Table 2 (Names)</t>
        </is>
      </c>
      <c r="C5" t="inlineStr">
        <is>
          <t>Ask Innovaccer what logic they use to arrive at SBR</t>
        </is>
      </c>
      <c r="D5" t="inlineStr">
        <is>
          <t>Validate consistency with full name</t>
        </is>
      </c>
      <c r="E5" t="inlineStr">
        <is>
          <t>Patient.name.suffix</t>
        </is>
      </c>
      <c r="F5" t="inlineStr">
        <is>
          <t>HumanName.suffix (0..*)</t>
        </is>
      </c>
      <c r="G5" t="inlineStr"/>
      <c r="H5" t="inlineStr"/>
      <c r="I5" t="inlineStr"/>
      <c r="J5" t="inlineStr"/>
      <c r="K5" t="inlineStr">
        <is>
          <t>http://hl7.org/fhir/us/core/StructureDefinition/us-core-patient</t>
        </is>
      </c>
      <c r="L5" t="inlineStr"/>
      <c r="M5" t="inlineStr"/>
      <c r="N5" t="inlineStr"/>
      <c r="O5" t="inlineStr"/>
      <c r="P5" t="inlineStr"/>
      <c r="Q5" t="inlineStr"/>
      <c r="R5" t="inlineStr">
        <is>
          <t>Most recent valid entry, ignore if inconsistent with other name components</t>
        </is>
      </c>
    </row>
    <row r="6">
      <c r="A6" t="inlineStr">
        <is>
          <t>Patient.name_prev</t>
        </is>
      </c>
      <c r="B6" t="inlineStr">
        <is>
          <t>Mark's Table 2 (Names)</t>
        </is>
      </c>
      <c r="C6" t="inlineStr">
        <is>
          <t>Ask Innovaccer what logic they use to arrive at SBR</t>
        </is>
      </c>
      <c r="D6" t="inlineStr">
        <is>
          <t>Support multiple values with date ranges</t>
        </is>
      </c>
      <c r="E6" t="inlineStr">
        <is>
          <t>Patient.name (with period.start/end)</t>
        </is>
      </c>
      <c r="F6" t="inlineStr">
        <is>
          <t>HumanName with Period (0..*)</t>
        </is>
      </c>
      <c r="G6" t="inlineStr"/>
      <c r="H6" t="inlineStr"/>
      <c r="I6" t="inlineStr"/>
      <c r="J6" t="inlineStr"/>
      <c r="K6" t="inlineStr">
        <is>
          <t>http://hl7.org/fhir/us/core/StructureDefinition/us-core-patient</t>
        </is>
      </c>
      <c r="L6" t="inlineStr"/>
      <c r="M6" t="inlineStr"/>
      <c r="N6" t="inlineStr"/>
      <c r="O6" t="inlineStr"/>
      <c r="P6" t="inlineStr"/>
      <c r="Q6" t="inlineStr"/>
      <c r="R6" t="inlineStr">
        <is>
          <t>Maintain all historical names with effective dates, do not overwrite</t>
        </is>
      </c>
    </row>
    <row r="7">
      <c r="A7" t="inlineStr">
        <is>
          <t>Patient.birth_date</t>
        </is>
      </c>
      <c r="B7" t="inlineStr">
        <is>
          <t>Verato UMPI match field</t>
        </is>
      </c>
      <c r="C7" t="inlineStr">
        <is>
          <t>Ask Innovaccer what logic they use to arrive at SBR</t>
        </is>
      </c>
      <c r="D7" t="inlineStr">
        <is>
          <t>Part of UMPI matching algorithm</t>
        </is>
      </c>
      <c r="E7" t="inlineStr">
        <is>
          <t>Patient.birthDate</t>
        </is>
      </c>
      <c r="F7" t="inlineStr">
        <is>
          <t>date</t>
        </is>
      </c>
      <c r="G7" t="inlineStr"/>
      <c r="H7" t="inlineStr"/>
      <c r="I7" t="inlineStr"/>
      <c r="J7" t="inlineStr"/>
      <c r="K7" t="inlineStr">
        <is>
          <t>http://hl7.org/fhir/us/core/StructureDefinition/us-core-patient</t>
        </is>
      </c>
      <c r="L7" t="inlineStr"/>
      <c r="M7" t="inlineStr"/>
      <c r="N7" t="inlineStr"/>
      <c r="O7" t="inlineStr"/>
      <c r="P7" t="inlineStr"/>
      <c r="Q7" t="inlineStr"/>
      <c r="R7" t="inlineStr">
        <is>
          <t>Most reliable source (birth certificate &gt; government ID &gt; self-report), ignore implausible values</t>
        </is>
      </c>
    </row>
    <row r="8">
      <c r="A8" t="inlineStr">
        <is>
          <t>Patient.death_date</t>
        </is>
      </c>
      <c r="B8" t="inlineStr">
        <is>
          <t>MEDS file primary, CMT disposition secondary</t>
        </is>
      </c>
      <c r="C8" t="inlineStr">
        <is>
          <t>Ask Innovaccer what logic they use to arrive at SBR</t>
        </is>
      </c>
      <c r="D8" t="inlineStr">
        <is>
          <t>Critical for EMPI merge blocking; Choice type: can be boolean (deceased=true) OR dateTime; PRIORITY: deceasedDateTime (Mortality File) &gt; deceasedBoolean (hospital discharge)</t>
        </is>
      </c>
      <c r="E8" t="inlineStr">
        <is>
          <t>Patient.deceased[x]</t>
        </is>
      </c>
      <c r="F8" t="inlineStr">
        <is>
          <t>Choice: deceasedBoolean OR deceasedDateTime</t>
        </is>
      </c>
      <c r="G8" t="inlineStr"/>
      <c r="H8" t="inlineStr"/>
      <c r="I8" t="inlineStr"/>
      <c r="J8" t="inlineStr"/>
      <c r="K8" t="inlineStr">
        <is>
          <t>http://hl7.org/fhir/us/core/StructureDefinition/us-core-patient</t>
        </is>
      </c>
      <c r="L8" t="inlineStr"/>
      <c r="M8" t="inlineStr"/>
      <c r="N8" t="inlineStr"/>
      <c r="O8" t="inlineStr"/>
      <c r="P8" t="inlineStr"/>
      <c r="Q8" t="inlineStr"/>
      <c r="R8" t="inlineStr">
        <is>
          <t>Most reliable source (death certificate &gt; vital records &gt; hospital discharge disposition &gt; mortality file), immutable once verified, timestamp required, blocks identity merges with living patients</t>
        </is>
      </c>
    </row>
    <row r="9">
      <c r="A9" t="inlineStr">
        <is>
          <t>Patient.birth_sex</t>
        </is>
      </c>
      <c r="B9" t="inlineStr">
        <is>
          <t>Verato UMPI match field; hospital registration over low-reliability EMS sources.</t>
        </is>
      </c>
      <c r="C9" t="inlineStr">
        <is>
          <t>Ask Innovaccer what logic they use to arrive at SBR</t>
        </is>
      </c>
      <c r="D9" t="inlineStr">
        <is>
          <t>US Core: us-core-birthsex extension on Patient
Administrative sex codes - not CDCREC race/ethnicity
NullFlavor: Unknown (U) treated as null at master level
UMPI matching; not interchangeable with gender identity (LOINC 76691-5)
County Table 2 Gender Groupings for SBR rollup</t>
        </is>
      </c>
      <c r="E9" t="inlineStr">
        <is>
          <t>Patient.extension(us-core-birthsex)</t>
        </is>
      </c>
      <c r="F9" t="inlineStr">
        <is>
          <t>Extension ? code (M/F/UNK)</t>
        </is>
      </c>
      <c r="G9" t="inlineStr"/>
      <c r="H9" t="inlineStr"/>
      <c r="I9" t="inlineStr"/>
      <c r="J9" t="inlineStr"/>
      <c r="K9" t="inlineStr">
        <is>
          <t>http://hl7.org/fhir/us/core/StructureDefinition/us-core-birthsex</t>
        </is>
      </c>
      <c r="L9" t="inlineStr"/>
      <c r="M9" t="inlineStr"/>
      <c r="N9" t="inlineStr"/>
      <c r="O9" t="inlineStr"/>
      <c r="P9" t="inlineStr"/>
      <c r="Q9" t="inlineStr"/>
      <c r="R9" t="inlineStr">
        <is>
          <t>County: CMT SexID - ignore Unknown (U) as null at master level
Most recently modified among valid values
Reliability-weighted when sources conflict; UMPI matching
Clinical/legal sources may trump self-report per policy
SBR rollup: Male to Female → Female, Female to Male → Male (Table 2)</t>
        </is>
      </c>
    </row>
    <row r="10">
      <c r="A10" t="inlineStr">
        <is>
          <t>Patient.gender_id</t>
        </is>
      </c>
      <c r="B10" t="inlineStr">
        <is>
          <t>Patient-facing and community sources prioritized over administrative SexID.</t>
        </is>
      </c>
      <c r="C10" t="inlineStr">
        <is>
          <t>Ask Innovaccer what logic they use to arrive at SBR</t>
        </is>
      </c>
      <c r="D10" t="inlineStr">
        <is>
          <t>US Core: Observation LOINC 76691-5
Answers: HL7 gender-identity ValueSet (SNOMED minimum, extensible)
OID: urn:oid:2.16.840.1.113883.6.96
Not: Patient.birth_sex / CMT SexID
County Table 2: SBR administrative rollup only - not this element</t>
        </is>
      </c>
      <c r="E10" t="inlineStr">
        <is>
          <t>Observation.valueCodeableConcept (LOINC 76691-5)</t>
        </is>
      </c>
      <c r="F10" t="inlineStr">
        <is>
          <t>Observation resource (US Core Observation Gender Identity Profile)</t>
        </is>
      </c>
      <c r="G10" t="inlineStr"/>
      <c r="H10" t="inlineStr"/>
      <c r="I10" t="inlineStr"/>
      <c r="J10" t="inlineStr"/>
      <c r="K10" t="inlineStr">
        <is>
          <t>http://hl7.org/fhir/us/core/StructureDefinition/us-core-observation-social-history</t>
        </is>
      </c>
      <c r="L10" t="inlineStr"/>
      <c r="M10" t="inlineStr"/>
      <c r="N10" t="inlineStr"/>
      <c r="O10" t="inlineStr"/>
      <c r="P10" t="inlineStr"/>
      <c r="Q10" t="inlineStr"/>
      <c r="R10" t="inlineStr">
        <is>
          <t>County: Gender identity is self-reported; patient preference wins
Most recent valid value with timestamp
US Core: Observation LOINC 76691-5
Equity rollup may collapse transition labels; detail kept for drill-through
Not CMT SexID - that governs Patient.birth_sex only</t>
        </is>
      </c>
    </row>
    <row r="11">
      <c r="A11" t="inlineStr">
        <is>
          <t>Patient.sexual_orient</t>
        </is>
      </c>
      <c r="B11" t="inlineStr">
        <is>
          <t>Patient-facing sources prioritized</t>
        </is>
      </c>
      <c r="C11" t="inlineStr">
        <is>
          <t>Ask Innovaccer what logic they use to arrive at SBR</t>
        </is>
      </c>
      <c r="D11" t="inlineStr">
        <is>
          <t>Self-report trumps all; US Core v5+ uses Observation for temporal tracking and provenance</t>
        </is>
      </c>
      <c r="E11" t="inlineStr">
        <is>
          <t>Observation.valueCodeableConcept (LOINC 76690-7)</t>
        </is>
      </c>
      <c r="F11" t="inlineStr">
        <is>
          <t>Observation resource (US Core Observation Sexual Orientation Profile)</t>
        </is>
      </c>
      <c r="G11" t="inlineStr"/>
      <c r="H11" t="inlineStr"/>
      <c r="I11" t="inlineStr"/>
      <c r="J11" t="inlineStr"/>
      <c r="K11" t="inlineStr">
        <is>
          <t>http://hl7.org/fhir/us/core/StructureDefinition/us-core-observation-social-history</t>
        </is>
      </c>
      <c r="L11" t="inlineStr"/>
      <c r="M11" t="inlineStr"/>
      <c r="N11" t="inlineStr"/>
      <c r="O11" t="inlineStr"/>
      <c r="P11" t="inlineStr"/>
      <c r="Q11" t="inlineStr"/>
      <c r="R11" t="inlineStr">
        <is>
          <t>Most recent self-reported value, timestamp required, patient preference always wins</t>
        </is>
      </c>
    </row>
    <row r="12">
      <c r="A12" t="inlineStr">
        <is>
          <t>Patient.race</t>
        </is>
      </c>
      <c r="B12" t="inlineStr">
        <is>
          <t>CMT expanded pop. Reliability tiers 1–3. Highland #1, Alliance #7, Housing #20 (Mark Table 2).</t>
        </is>
      </c>
      <c r="C12" t="inlineStr">
        <is>
          <t>Ask Innovaccer what logic they use to arrive at SBR</t>
        </is>
      </c>
      <c r="D12" t="inlineStr">
        <is>
          <t>Terminology: CDCREC urn:oid:2.16.840.1.113883.6.238
Value set: HL7 v3-Race
US Core: us-core-race ombCategory (required), detailed (optional), text
OMB examples: 1002-5, 2028-9, 2054-5, 2076-8, 2106-3, 2131-1
NullFlavor: unknown, declined, missing are distinct
Reporting: OMB/CDC PHIN v1.3 + county Table 5
Sources: 28+ race values; granularity varies</t>
        </is>
      </c>
      <c r="E12" t="inlineStr">
        <is>
          <t>Patient.extension(us-core-race) [contains .extension(ombCategory) + .extension(detailed) + .extension(text)]</t>
        </is>
      </c>
      <c r="F12" t="inlineStr">
        <is>
          <t>Complex Extension: ombCategory (Coding 1..1 REQUIRED), detailed (Coding 0..*), text (string)</t>
        </is>
      </c>
      <c r="G12" t="inlineStr"/>
      <c r="H12" t="inlineStr"/>
      <c r="I12" t="inlineStr"/>
      <c r="J12" t="inlineStr"/>
      <c r="K12" t="inlineStr">
        <is>
          <t>http://hl7.org/fhir/us/core/StructureDefinition/us-core-race</t>
        </is>
      </c>
      <c r="L12" t="inlineStr"/>
      <c r="M12" t="inlineStr"/>
      <c r="N12" t="inlineStr"/>
      <c r="O12" t="inlineStr"/>
      <c r="P12" t="inlineStr"/>
      <c r="Q12" t="inlineStr"/>
      <c r="R12" t="inlineStr">
        <is>
          <t>County: CDC PHIN OMB rollup (R1–R5, R9, Multi-Racial)
Detail trumps rollup (e.g. Japanese &gt; Asian)
Exclude Unknown, DTS, Other Race from aggregates
Self-report first; else reliability-tiered (FQHC/community &gt; BH &gt; hospital &gt; payer)
Multi-racial when consistent; alert on unmapped values</t>
        </is>
      </c>
    </row>
    <row r="13">
      <c r="A13" t="inlineStr">
        <is>
          <t>Patient.ethnicity</t>
        </is>
      </c>
      <c r="B13" t="inlineStr">
        <is>
          <t>CMT expanded pop. Reliability tiers 1–3. Highland #1, Alliance #7, Housing #20 (Mark Table 2).</t>
        </is>
      </c>
      <c r="C13" t="inlineStr">
        <is>
          <t>Ask Innovaccer what logic they use to arrive at SBR</t>
        </is>
      </c>
      <c r="D13" t="inlineStr">
        <is>
          <t>Terminology: CDCREC urn:oid:2.16.840.1.113883.6.238
Value set: HL7 v3-Ethnicity
US Core: us-core-ethnicity extension
OMB examples: 2135-2 Hispanic or Latino, 2186-5 Not Hispanic or Latino
Detail (Mexican, Cuban) maps to rollup
NullFlavor: do not collapse unknown, declined, patient-refused
Reporting: OMB E1/E2 + county Table 5
Sources: 7+ values; Housing high coverage</t>
        </is>
      </c>
      <c r="E13" t="inlineStr">
        <is>
          <t>Patient.extension(us-core-ethnicity) [contains .extension(ombCategory) + .extension(detailed) + .extension(text)]</t>
        </is>
      </c>
      <c r="F13" t="inlineStr">
        <is>
          <t>Complex Extension: ombCategory (Coding 1..1 REQUIRED), detailed (Coding 0..*), text (string)</t>
        </is>
      </c>
      <c r="G13" t="inlineStr"/>
      <c r="H13" t="inlineStr"/>
      <c r="I13" t="inlineStr"/>
      <c r="J13" t="inlineStr"/>
      <c r="K13" t="inlineStr">
        <is>
          <t>http://hl7.org/fhir/us/core/StructureDefinition/us-core-ethnicity</t>
        </is>
      </c>
      <c r="L13" t="inlineStr"/>
      <c r="M13" t="inlineStr"/>
      <c r="N13" t="inlineStr"/>
      <c r="O13" t="inlineStr"/>
      <c r="P13" t="inlineStr"/>
      <c r="Q13" t="inlineStr"/>
      <c r="R13" t="inlineStr">
        <is>
          <t>County: CDC OMB ethnicity rollup (Hispanic or Latino / Not Hispanic or Latino)
Detail trumps rollup (e.g. Mexican, Cuban &gt; Hispanic or Latino)
Exclude Unknown, declined, patient-refused from aggregates
Self-report first; reliability-tiered fallback</t>
        </is>
      </c>
    </row>
    <row r="14">
      <c r="A14" t="inlineStr">
        <is>
          <t>Patient.language</t>
        </is>
      </c>
      <c r="B14" t="inlineStr">
        <is>
          <t>Highland #1 (broad language capture); St Rose #17 per Mark Table 2.</t>
        </is>
      </c>
      <c r="C14" t="inlineStr">
        <is>
          <t>Ask Innovaccer what logic they use to arrive at SBR</t>
        </is>
      </c>
      <c r="D14" t="inlineStr">
        <is>
          <t>Terminology: BCP 47 urn:ietf:bcp:47 (RFC 5646)
FHIR: Patient.communication.language (primary binding)
ISO 639 / SIL parent: encyclopedia only, not the dashboard chart
Exclude: undetermined (und) and declined from aggregates
County chart shortlist: unsigned (Table 4 narrative until signed)
Sources: 112+ values; critical for Mam-speaking outreach</t>
        </is>
      </c>
      <c r="E14" t="inlineStr">
        <is>
          <t>Patient.communication.language</t>
        </is>
      </c>
      <c r="F14" t="inlineStr">
        <is>
          <t>CodeableConcept (0..*)</t>
        </is>
      </c>
      <c r="G14" t="inlineStr"/>
      <c r="H14" t="inlineStr"/>
      <c r="I14" t="inlineStr"/>
      <c r="J14" t="inlineStr"/>
      <c r="K14" t="inlineStr">
        <is>
          <t>http://hl7.org/fhir/us/core/StructureDefinition/us-core-patient</t>
        </is>
      </c>
      <c r="L14" t="inlineStr"/>
      <c r="M14" t="inlineStr"/>
      <c r="N14" t="inlineStr"/>
      <c r="O14" t="inlineStr"/>
      <c r="P14" t="inlineStr"/>
      <c r="Q14" t="inlineStr"/>
      <c r="R14" t="inlineStr">
        <is>
          <t>Keep the specific BCP 47 language on the person (e.g. Mandarin cmn, not Chinese zho)
Preferred/self-reported language wins when timestamped
Dashboard chart = county shortlist + Other once signed; SIL parent is not the chart
Exclude undetermined and declined-to-specify from aggregates
Interpreter/clinical context may override when documented</t>
        </is>
      </c>
    </row>
    <row r="15">
      <c r="A15" t="inlineStr">
        <is>
          <t>Patient.marital_status</t>
        </is>
      </c>
      <c r="B15" t="inlineStr">
        <is>
          <t>Mark's Table 2 (Marital Status): Marina Wellness #18, Highland #24, Housing lower</t>
        </is>
      </c>
      <c r="C15" t="inlineStr">
        <is>
          <t>Ask Innovaccer what logic they use to arrive at SBR</t>
        </is>
      </c>
      <c r="D15" t="inlineStr">
        <is>
          <t>Ranking aligned with address (both dynamic); skip 'Unknown' in first pass</t>
        </is>
      </c>
      <c r="E15" t="inlineStr">
        <is>
          <t>Patient.maritalStatus</t>
        </is>
      </c>
      <c r="F15" t="inlineStr">
        <is>
          <t>CodeableConcept</t>
        </is>
      </c>
      <c r="G15" t="inlineStr"/>
      <c r="H15" t="inlineStr"/>
      <c r="I15" t="inlineStr"/>
      <c r="J15" t="inlineStr"/>
      <c r="K15" t="inlineStr">
        <is>
          <t>http://hl7.org/fhir/us/core/StructureDefinition/us-core-patient</t>
        </is>
      </c>
      <c r="L15" t="inlineStr"/>
      <c r="M15" t="inlineStr"/>
      <c r="N15" t="inlineStr"/>
      <c r="O15" t="inlineStr"/>
      <c r="P15" t="inlineStr"/>
      <c r="Q15" t="inlineStr"/>
      <c r="R15" t="inlineStr">
        <is>
          <t>Most recent with timestamp, aligned to address ranking (likely to change over time), grouped: Single, Married, Divorced, Other</t>
        </is>
      </c>
    </row>
    <row r="16">
      <c r="A16" t="inlineStr">
        <is>
          <t>Patient.religion</t>
        </is>
      </c>
      <c r="B16" t="inlineStr">
        <is>
          <t>Mark's Table 2 (Religion): Highland #1 (45 religions), St Rose #17, Marina #6</t>
        </is>
      </c>
      <c r="C16" t="inlineStr">
        <is>
          <t>Ask Innovaccer what logic they use to arrive at SBR</t>
        </is>
      </c>
      <c r="D16" t="inlineStr">
        <is>
          <t>53 religion values grouped into 7 categories; many unmapped codes need identification</t>
        </is>
      </c>
      <c r="E16" t="inlineStr">
        <is>
          <t>Patient.extension(patient-religion)</t>
        </is>
      </c>
      <c r="F16" t="inlineStr">
        <is>
          <t>Extension ? CodeableConcept</t>
        </is>
      </c>
      <c r="G16" t="inlineStr"/>
      <c r="H16" t="inlineStr"/>
      <c r="I16" t="inlineStr"/>
      <c r="J16" t="inlineStr"/>
      <c r="K16" t="inlineStr">
        <is>
          <t>http://hl7.org/fhir/StructureDefinition/patient-religion</t>
        </is>
      </c>
      <c r="L16" t="inlineStr"/>
      <c r="M16" t="inlineStr"/>
      <c r="N16" t="inlineStr"/>
      <c r="O16" t="inlineStr"/>
      <c r="P16" t="inlineStr"/>
      <c r="Q16" t="inlineStr"/>
      <c r="R16" t="inlineStr">
        <is>
          <t>Most recent self-reported, specific religion (Catholic) &gt; primary religion (Christian), support multiple affiliations</t>
        </is>
      </c>
    </row>
    <row r="17">
      <c r="A17" t="inlineStr">
        <is>
          <t>Patient.address</t>
        </is>
      </c>
      <c r="B17" t="inlineStr">
        <is>
          <t>Mark's Table 2 (Address): Physician practices rank 1-23, Hospitals 24-38, Claims data 39-44, Crisis sources 55-58</t>
        </is>
      </c>
      <c r="C17" t="inlineStr">
        <is>
          <t>Ask Innovaccer what logic they use to arrive at SBR</t>
        </is>
      </c>
      <c r="D17" t="inlineStr">
        <is>
          <t>CRITICAL: Address components must come from SAME source record; Payer/claims data 'notoriously outdated'; Crisis services (Falck, Cherry Hill, JG) unreliable; Flag quality tiers; PRIORITY: Address.use='home' preferred, explicitly exclude .use='old'</t>
        </is>
      </c>
      <c r="E17" t="inlineStr">
        <is>
          <t>Patient.address</t>
        </is>
      </c>
      <c r="F17" t="inlineStr">
        <is>
          <t>Address (0..*)</t>
        </is>
      </c>
      <c r="G17" t="inlineStr"/>
      <c r="H17" t="inlineStr"/>
      <c r="I17" t="inlineStr"/>
      <c r="J17" t="inlineStr"/>
      <c r="K17" t="inlineStr">
        <is>
          <t>http://hl7.org/fhir/us/core/StructureDefinition/us-core-patient</t>
        </is>
      </c>
      <c r="L17" t="inlineStr"/>
      <c r="M17" t="inlineStr"/>
      <c r="N17" t="inlineStr"/>
      <c r="O17" t="inlineStr"/>
      <c r="P17" t="inlineStr"/>
      <c r="Q17" t="inlineStr"/>
      <c r="R17" t="inlineStr">
        <is>
          <t>Most recent with timestamp, COHERENCE REQUIREMENT: (Address Line 1-3 + City + State + Zip + Country) selected together as set from same source/same timestamp, detailed &gt; partial, some data &gt; none</t>
        </is>
      </c>
    </row>
    <row r="18">
      <c r="A18" t="inlineStr">
        <is>
          <t>Patient.address_line1</t>
        </is>
      </c>
      <c r="B18" t="inlineStr">
        <is>
          <t>See Address Full</t>
        </is>
      </c>
      <c r="C18" t="inlineStr">
        <is>
          <t>Ask Innovaccer what logic they use to arrive at SBR</t>
        </is>
      </c>
      <c r="D18" t="inlineStr">
        <is>
          <t>Required field; skip if missing (incomplete address)</t>
        </is>
      </c>
      <c r="E18" t="inlineStr">
        <is>
          <t>Patient.address.line</t>
        </is>
      </c>
      <c r="F18" t="inlineStr">
        <is>
          <t>Address.line[0] (string)</t>
        </is>
      </c>
      <c r="G18" t="inlineStr"/>
      <c r="H18" t="inlineStr"/>
      <c r="I18" t="inlineStr"/>
      <c r="J18" t="inlineStr"/>
      <c r="K18" t="inlineStr">
        <is>
          <t>http://hl7.org/fhir/us/core/StructureDefinition/us-core-patient</t>
        </is>
      </c>
      <c r="L18" t="inlineStr"/>
      <c r="M18" t="inlineStr"/>
      <c r="N18" t="inlineStr"/>
      <c r="O18" t="inlineStr"/>
      <c r="P18" t="inlineStr"/>
      <c r="Q18" t="inlineStr"/>
      <c r="R18" t="inlineStr">
        <is>
          <t>Part of Address coherence set (see Address Full above)</t>
        </is>
      </c>
    </row>
    <row r="19">
      <c r="A19" t="inlineStr">
        <is>
          <t>Patient.address_line2</t>
        </is>
      </c>
      <c r="B19" t="inlineStr">
        <is>
          <t>See Address Full</t>
        </is>
      </c>
      <c r="C19" t="inlineStr">
        <is>
          <t>Ask Innovaccer what logic they use to arrive at SBR</t>
        </is>
      </c>
      <c r="D19" t="inlineStr">
        <is>
          <t>Optional; split from Line 1 if needed</t>
        </is>
      </c>
      <c r="E19" t="inlineStr">
        <is>
          <t>Patient.address.line</t>
        </is>
      </c>
      <c r="F19" t="inlineStr">
        <is>
          <t>Address.line[1] (string)</t>
        </is>
      </c>
      <c r="G19" t="inlineStr"/>
      <c r="H19" t="inlineStr"/>
      <c r="I19" t="inlineStr"/>
      <c r="J19" t="inlineStr"/>
      <c r="K19" t="inlineStr">
        <is>
          <t>http://hl7.org/fhir/us/core/StructureDefinition/us-core-patient</t>
        </is>
      </c>
      <c r="L19" t="inlineStr"/>
      <c r="M19" t="inlineStr"/>
      <c r="N19" t="inlineStr"/>
      <c r="O19" t="inlineStr"/>
      <c r="P19" t="inlineStr"/>
      <c r="Q19" t="inlineStr"/>
      <c r="R19" t="inlineStr">
        <is>
          <t>Part of Address coherence set (see Address Full above)</t>
        </is>
      </c>
    </row>
    <row r="20">
      <c r="A20" t="inlineStr">
        <is>
          <t>Patient.address_line3</t>
        </is>
      </c>
      <c r="B20" t="inlineStr">
        <is>
          <t>See Address Full</t>
        </is>
      </c>
      <c r="C20" t="inlineStr">
        <is>
          <t>Ask Innovaccer what logic they use to arrive at SBR</t>
        </is>
      </c>
      <c r="D20" t="inlineStr">
        <is>
          <t>Optional</t>
        </is>
      </c>
      <c r="E20" t="inlineStr">
        <is>
          <t>Patient.address.line</t>
        </is>
      </c>
      <c r="F20" t="inlineStr">
        <is>
          <t>Address.line[2] (string)</t>
        </is>
      </c>
      <c r="G20" t="inlineStr"/>
      <c r="H20" t="inlineStr"/>
      <c r="I20" t="inlineStr"/>
      <c r="J20" t="inlineStr"/>
      <c r="K20" t="inlineStr">
        <is>
          <t>http://hl7.org/fhir/us/core/StructureDefinition/us-core-patient</t>
        </is>
      </c>
      <c r="L20" t="inlineStr"/>
      <c r="M20" t="inlineStr"/>
      <c r="N20" t="inlineStr"/>
      <c r="O20" t="inlineStr"/>
      <c r="P20" t="inlineStr"/>
      <c r="Q20" t="inlineStr"/>
      <c r="R20" t="inlineStr">
        <is>
          <t>Part of Address coherence set (see Address Full above)</t>
        </is>
      </c>
    </row>
    <row r="21">
      <c r="A21" t="inlineStr">
        <is>
          <t>Patient.address_city</t>
        </is>
      </c>
      <c r="B21" t="inlineStr">
        <is>
          <t>See Address Full</t>
        </is>
      </c>
      <c r="C21" t="inlineStr">
        <is>
          <t>Ask Innovaccer what logic they use to arrive at SBR</t>
        </is>
      </c>
      <c r="D21" t="inlineStr">
        <is>
          <t>Data cleaning rules needed; crosswalk from ZIP if missing</t>
        </is>
      </c>
      <c r="E21" t="inlineStr">
        <is>
          <t>Patient.address.city</t>
        </is>
      </c>
      <c r="F21" t="inlineStr">
        <is>
          <t>Address.city (string)</t>
        </is>
      </c>
      <c r="G21" t="inlineStr"/>
      <c r="H21" t="inlineStr"/>
      <c r="I21" t="inlineStr"/>
      <c r="J21" t="inlineStr"/>
      <c r="K21" t="inlineStr">
        <is>
          <t>http://hl7.org/fhir/us/core/StructureDefinition/us-core-patient</t>
        </is>
      </c>
      <c r="L21" t="inlineStr"/>
      <c r="M21" t="inlineStr"/>
      <c r="N21" t="inlineStr"/>
      <c r="O21" t="inlineStr"/>
      <c r="P21" t="inlineStr"/>
      <c r="Q21" t="inlineStr"/>
      <c r="R21" t="inlineStr">
        <is>
          <t>Part of Address coherence set; harmonize city names (if ZIP in range and city resembles 'oak' then 'Oakland')</t>
        </is>
      </c>
    </row>
    <row r="22">
      <c r="A22" t="inlineStr">
        <is>
          <t>Patient.address_state</t>
        </is>
      </c>
      <c r="B22" t="inlineStr">
        <is>
          <t>See Address Full</t>
        </is>
      </c>
      <c r="C22" t="inlineStr">
        <is>
          <t>Ask Innovaccer what logic they use to arrive at SBR</t>
        </is>
      </c>
      <c r="D22" t="inlineStr">
        <is>
          <t>Crosswalk from ZIP if missing</t>
        </is>
      </c>
      <c r="E22" t="inlineStr">
        <is>
          <t>Patient.address.state</t>
        </is>
      </c>
      <c r="F22" t="inlineStr">
        <is>
          <t>Address.state (string)</t>
        </is>
      </c>
      <c r="G22" t="inlineStr"/>
      <c r="H22" t="inlineStr"/>
      <c r="I22" t="inlineStr"/>
      <c r="J22" t="inlineStr"/>
      <c r="K22" t="inlineStr">
        <is>
          <t>http://hl7.org/fhir/us/core/StructureDefinition/us-core-patient</t>
        </is>
      </c>
      <c r="L22" t="inlineStr"/>
      <c r="M22" t="inlineStr"/>
      <c r="N22" t="inlineStr"/>
      <c r="O22" t="inlineStr"/>
      <c r="P22" t="inlineStr"/>
      <c r="Q22" t="inlineStr"/>
      <c r="R22" t="inlineStr">
        <is>
          <t>Part of Address coherence set</t>
        </is>
      </c>
    </row>
    <row r="23">
      <c r="A23" t="inlineStr">
        <is>
          <t>Patient.address_zip</t>
        </is>
      </c>
      <c r="B23" t="inlineStr">
        <is>
          <t>See Address Full</t>
        </is>
      </c>
      <c r="C23" t="inlineStr">
        <is>
          <t>Ask Innovaccer what logic they use to arrive at SBR</t>
        </is>
      </c>
      <c r="D23" t="inlineStr">
        <is>
          <t>Data cleaning rules needed</t>
        </is>
      </c>
      <c r="E23" t="inlineStr">
        <is>
          <t>Patient.address.postalCode</t>
        </is>
      </c>
      <c r="F23" t="inlineStr">
        <is>
          <t>Address.postalCode (string)</t>
        </is>
      </c>
      <c r="G23" t="inlineStr"/>
      <c r="H23" t="inlineStr"/>
      <c r="I23" t="inlineStr"/>
      <c r="J23" t="inlineStr"/>
      <c r="K23" t="inlineStr">
        <is>
          <t>http://hl7.org/fhir/us/core/StructureDefinition/us-core-patient</t>
        </is>
      </c>
      <c r="L23" t="inlineStr"/>
      <c r="M23" t="inlineStr"/>
      <c r="N23" t="inlineStr"/>
      <c r="O23" t="inlineStr"/>
      <c r="P23" t="inlineStr"/>
      <c r="Q23" t="inlineStr"/>
      <c r="R23" t="inlineStr">
        <is>
          <t>Part of Address coherence set; harmonize to match city</t>
        </is>
      </c>
    </row>
    <row r="24">
      <c r="A24" t="inlineStr">
        <is>
          <t>Patient.address_country</t>
        </is>
      </c>
      <c r="B24" t="inlineStr">
        <is>
          <t>See Address Full</t>
        </is>
      </c>
      <c r="C24" t="inlineStr">
        <is>
          <t>Ask Innovaccer what logic they use to arrive at SBR</t>
        </is>
      </c>
      <c r="D24" t="inlineStr">
        <is>
          <t>Default to 'USA' for Alameda County records</t>
        </is>
      </c>
      <c r="E24" t="inlineStr">
        <is>
          <t>Patient.address.country</t>
        </is>
      </c>
      <c r="F24" t="inlineStr">
        <is>
          <t>Address.country (string)</t>
        </is>
      </c>
      <c r="G24" t="inlineStr"/>
      <c r="H24" t="inlineStr"/>
      <c r="I24" t="inlineStr"/>
      <c r="J24" t="inlineStr"/>
      <c r="K24" t="inlineStr">
        <is>
          <t>http://hl7.org/fhir/us/core/StructureDefinition/us-core-patient</t>
        </is>
      </c>
      <c r="L24" t="inlineStr"/>
      <c r="M24" t="inlineStr"/>
      <c r="N24" t="inlineStr"/>
      <c r="O24" t="inlineStr"/>
      <c r="P24" t="inlineStr"/>
      <c r="Q24" t="inlineStr"/>
      <c r="R24" t="inlineStr">
        <is>
          <t>Part of Address coherence set</t>
        </is>
      </c>
    </row>
    <row r="25">
      <c r="A25" t="inlineStr">
        <is>
          <t>Patient.address_block</t>
        </is>
      </c>
      <c r="B25" t="inlineStr">
        <is>
          <t>N/A - Derived</t>
        </is>
      </c>
      <c r="C25" t="inlineStr">
        <is>
          <t>Ask Innovaccer what logic they use to arrive at SBR</t>
        </is>
      </c>
      <c r="D25" t="inlineStr">
        <is>
          <t>Requires geocoding service; supports neighborhood SDOH analysis</t>
        </is>
      </c>
      <c r="E25" t="inlineStr">
        <is>
          <t>Patient.address.extension(geolocation) OR custom extension</t>
        </is>
      </c>
      <c r="F25" t="inlineStr">
        <is>
          <t>Extension ? Decimal (lat/long)</t>
        </is>
      </c>
      <c r="G25" t="inlineStr"/>
      <c r="H25" t="inlineStr"/>
      <c r="I25" t="inlineStr"/>
      <c r="J25" t="inlineStr"/>
      <c r="K25" t="inlineStr">
        <is>
          <t>http://hl7.org/fhir/us/core/StructureDefinition/us-core-patient</t>
        </is>
      </c>
      <c r="L25" t="inlineStr"/>
      <c r="M25" t="inlineStr"/>
      <c r="N25" t="inlineStr"/>
      <c r="O25" t="inlineStr"/>
      <c r="P25" t="inlineStr"/>
      <c r="Q25" t="inlineStr"/>
      <c r="R25" t="inlineStr">
        <is>
          <t>Derive from Address Full using geocoding; placeholder in Mark's implementation</t>
        </is>
      </c>
    </row>
    <row r="26">
      <c r="A26" t="inlineStr">
        <is>
          <t>Patient.address_district</t>
        </is>
      </c>
      <c r="B26" t="inlineStr">
        <is>
          <t>N/A - Derived</t>
        </is>
      </c>
      <c r="C26" t="inlineStr">
        <is>
          <t>Ask Innovaccer what logic they use to arrive at SBR</t>
        </is>
      </c>
      <c r="D26" t="inlineStr">
        <is>
          <t>Supports health equity by political geography</t>
        </is>
      </c>
      <c r="E26" t="inlineStr">
        <is>
          <t>Patient.address.district</t>
        </is>
      </c>
      <c r="F26" t="inlineStr">
        <is>
          <t>Address.district (string)</t>
        </is>
      </c>
      <c r="G26" t="inlineStr"/>
      <c r="H26" t="inlineStr"/>
      <c r="I26" t="inlineStr"/>
      <c r="J26" t="inlineStr"/>
      <c r="K26" t="inlineStr">
        <is>
          <t>http://hl7.org/fhir/us/core/StructureDefinition/us-core-patient</t>
        </is>
      </c>
      <c r="L26" t="inlineStr"/>
      <c r="M26" t="inlineStr"/>
      <c r="N26" t="inlineStr"/>
      <c r="O26" t="inlineStr"/>
      <c r="P26" t="inlineStr"/>
      <c r="Q26" t="inlineStr"/>
      <c r="R26" t="inlineStr">
        <is>
          <t>Derive from Address Full using district boundaries; placeholder in Mark's implementation</t>
        </is>
      </c>
    </row>
    <row r="27">
      <c r="A27" t="inlineStr">
        <is>
          <t>Patient.address_prev</t>
        </is>
      </c>
      <c r="B27" t="inlineStr">
        <is>
          <t>Same as Address Full</t>
        </is>
      </c>
      <c r="C27" t="inlineStr">
        <is>
          <t>Ask Innovaccer what logic they use to arrive at SBR</t>
        </is>
      </c>
      <c r="D27" t="inlineStr">
        <is>
          <t>Support multiple values with date ranges; aids continuity when patients move</t>
        </is>
      </c>
      <c r="E27" t="inlineStr">
        <is>
          <t>Patient.address (with period.start/end)</t>
        </is>
      </c>
      <c r="F27" t="inlineStr">
        <is>
          <t>Address with Period (0..*)</t>
        </is>
      </c>
      <c r="G27" t="inlineStr"/>
      <c r="H27" t="inlineStr"/>
      <c r="I27" t="inlineStr"/>
      <c r="J27" t="inlineStr"/>
      <c r="K27" t="inlineStr">
        <is>
          <t>http://hl7.org/fhir/us/core/StructureDefinition/us-core-patient</t>
        </is>
      </c>
      <c r="L27" t="inlineStr"/>
      <c r="M27" t="inlineStr"/>
      <c r="N27" t="inlineStr"/>
      <c r="O27" t="inlineStr"/>
      <c r="P27" t="inlineStr"/>
      <c r="Q27" t="inlineStr"/>
      <c r="R27" t="inlineStr">
        <is>
          <t>Maintain all with effective date ranges, do not overwrite historical addresses; same coherence requirement as current address</t>
        </is>
      </c>
    </row>
    <row r="28">
      <c r="A28" t="inlineStr">
        <is>
          <t>Patient.phone</t>
        </is>
      </c>
      <c r="B28" t="inlineStr">
        <is>
          <t>Similar to Address ranking</t>
        </is>
      </c>
      <c r="C28" t="inlineStr">
        <is>
          <t>Ask Innovaccer what logic they use to arrive at SBR</t>
        </is>
      </c>
      <c r="D28" t="inlineStr">
        <is>
          <t>Verification status matters; support multiple with type</t>
        </is>
      </c>
      <c r="E28" t="inlineStr">
        <is>
          <t>Patient.telecom (system=phone)</t>
        </is>
      </c>
      <c r="F28" t="inlineStr">
        <is>
          <t>ContactPoint (0..*)</t>
        </is>
      </c>
      <c r="G28" t="inlineStr"/>
      <c r="H28" t="inlineStr"/>
      <c r="I28" t="inlineStr"/>
      <c r="J28" t="inlineStr"/>
      <c r="K28" t="inlineStr">
        <is>
          <t>http://hl7.org/fhir/us/core/StructureDefinition/us-core-patient</t>
        </is>
      </c>
      <c r="L28" t="inlineStr"/>
      <c r="M28" t="inlineStr"/>
      <c r="N28" t="inlineStr"/>
      <c r="O28" t="inlineStr"/>
      <c r="P28" t="inlineStr"/>
      <c r="Q28" t="inlineStr"/>
      <c r="R28" t="inlineStr">
        <is>
          <t>Most recent verified contact, timestamp required, support multiple active numbers with type (mobile/home/work)</t>
        </is>
      </c>
    </row>
    <row r="29">
      <c r="A29" t="inlineStr">
        <is>
          <t>Patient.email</t>
        </is>
      </c>
      <c r="B29" t="inlineStr">
        <is>
          <t>Similar to Address ranking</t>
        </is>
      </c>
      <c r="C29" t="inlineStr">
        <is>
          <t>Ask Innovaccer what logic they use to arrive at SBR</t>
        </is>
      </c>
      <c r="D29" t="inlineStr">
        <is>
          <t>Format validation; verification status matters</t>
        </is>
      </c>
      <c r="E29" t="inlineStr">
        <is>
          <t>Patient.telecom (system=email)</t>
        </is>
      </c>
      <c r="F29" t="inlineStr">
        <is>
          <t>ContactPoint (0..*)</t>
        </is>
      </c>
      <c r="G29" t="inlineStr"/>
      <c r="H29" t="inlineStr"/>
      <c r="I29" t="inlineStr"/>
      <c r="J29" t="inlineStr"/>
      <c r="K29" t="inlineStr">
        <is>
          <t>http://hl7.org/fhir/us/core/StructureDefinition/us-core-patient</t>
        </is>
      </c>
      <c r="L29" t="inlineStr"/>
      <c r="M29" t="inlineStr"/>
      <c r="N29" t="inlineStr"/>
      <c r="O29" t="inlineStr"/>
      <c r="P29" t="inlineStr"/>
      <c r="Q29" t="inlineStr"/>
      <c r="R29" t="inlineStr">
        <is>
          <t>Most recent verified contact, timestamp required, validation check for format</t>
        </is>
      </c>
    </row>
    <row r="30">
      <c r="A30" t="inlineStr">
        <is>
          <t>Patient.ssn</t>
        </is>
      </c>
      <c r="B30" t="inlineStr">
        <is>
          <t>Government/Medical records primary</t>
        </is>
      </c>
      <c r="C30" t="inlineStr">
        <is>
          <t>Ask Innovaccer what logic they use to arrive at SBR</t>
        </is>
      </c>
      <c r="D30" t="inlineStr">
        <is>
          <t>Format validation; immutability once verified</t>
        </is>
      </c>
      <c r="E30" t="inlineStr">
        <is>
          <t>Patient.identifier (system=SSN)</t>
        </is>
      </c>
      <c r="F30" t="inlineStr">
        <is>
          <t>Identifier</t>
        </is>
      </c>
      <c r="G30" t="inlineStr"/>
      <c r="H30" t="inlineStr"/>
      <c r="I30" t="inlineStr"/>
      <c r="J30" t="inlineStr"/>
      <c r="K30" t="inlineStr">
        <is>
          <t>http://hl7.org/fhir/us/core/StructureDefinition/us-core-patient</t>
        </is>
      </c>
      <c r="L30" t="inlineStr"/>
      <c r="M30" t="inlineStr"/>
      <c r="N30" t="inlineStr"/>
      <c r="O30" t="inlineStr"/>
      <c r="P30" t="inlineStr"/>
      <c r="Q30" t="inlineStr"/>
      <c r="R30" t="inlineStr">
        <is>
          <t>Most reliable source, validation check for format, treat as immutable once verified</t>
        </is>
      </c>
    </row>
    <row r="31">
      <c r="A31" t="inlineStr">
        <is>
          <t>Patient.related_person</t>
        </is>
      </c>
      <c r="B31" t="inlineStr">
        <is>
          <t>Patient-facing sources prioritized</t>
        </is>
      </c>
      <c r="C31" t="inlineStr">
        <is>
          <t>Ask Innovaccer what logic they use to arrive at SBR</t>
        </is>
      </c>
      <c r="D31" t="inlineStr">
        <is>
          <t>Support multiple with roles and effective dates</t>
        </is>
      </c>
      <c r="E31" t="inlineStr">
        <is>
          <t>Patient.contact OR RelatedPerson resource</t>
        </is>
      </c>
      <c r="F31" t="inlineStr">
        <is>
          <t>BackboneElement (0..*) OR separate resource</t>
        </is>
      </c>
      <c r="G31" t="inlineStr"/>
      <c r="H31" t="inlineStr"/>
      <c r="I31" t="inlineStr"/>
      <c r="J31" t="inlineStr"/>
      <c r="K31" t="inlineStr">
        <is>
          <t>http://hl7.org/fhir/us/core/StructureDefinition/us-core-patient</t>
        </is>
      </c>
      <c r="L31" t="inlineStr"/>
      <c r="M31" t="inlineStr"/>
      <c r="N31" t="inlineStr"/>
      <c r="O31" t="inlineStr"/>
      <c r="P31" t="inlineStr"/>
      <c r="Q31" t="inlineStr"/>
      <c r="R31" t="inlineStr">
        <is>
          <t>Most recent patient-provided list with timestamps, support multiple active relationships with roles</t>
        </is>
      </c>
    </row>
    <row r="32">
      <c r="A32" t="inlineStr">
        <is>
          <t>Patient.tribal_affil</t>
        </is>
      </c>
      <c r="B32" t="inlineStr">
        <is>
          <t>Patient self-report prioritized</t>
        </is>
      </c>
      <c r="C32" t="inlineStr">
        <is>
          <t>Ask Innovaccer what logic they use to arrive at SBR</t>
        </is>
      </c>
      <c r="D32" t="inlineStr">
        <is>
          <t>Support multiple values</t>
        </is>
      </c>
      <c r="E32" t="inlineStr">
        <is>
          <t>Patient.extension(us-core-tribal-affiliation)</t>
        </is>
      </c>
      <c r="F32" t="inlineStr">
        <is>
          <t>Extension ? Coding (0..*)</t>
        </is>
      </c>
      <c r="G32" t="inlineStr"/>
      <c r="H32" t="inlineStr"/>
      <c r="I32" t="inlineStr"/>
      <c r="J32" t="inlineStr"/>
      <c r="K32" t="inlineStr">
        <is>
          <t>http://hl7.org/fhir/us/core/StructureDefinition/us-core-tribal-affiliation</t>
        </is>
      </c>
      <c r="L32" t="inlineStr"/>
      <c r="M32" t="inlineStr"/>
      <c r="N32" t="inlineStr"/>
      <c r="O32" t="inlineStr"/>
      <c r="P32" t="inlineStr"/>
      <c r="Q32" t="inlineStr"/>
      <c r="R32" t="inlineStr">
        <is>
          <t>Self-reported, support multiple affiliations, most recent if changed</t>
        </is>
      </c>
    </row>
    <row r="33">
      <c r="A33" t="inlineStr">
        <is>
          <t>Patient.housing_status</t>
        </is>
      </c>
      <c r="B33" t="inlineStr">
        <is>
          <t>HMIS authoritative; PopBuilder SQL stored procedures</t>
        </is>
      </c>
      <c r="C33" t="inlineStr">
        <is>
          <t>Ask Innovaccer what logic they use to arrive at SBR</t>
        </is>
      </c>
      <c r="D33" t="inlineStr">
        <is>
          <t>2-3 years stakeholder validation (Mark Feinold); frozen historical months; rolling 2-3 month recompute window; CRITICAL: preserve freeze when UMPI merges</t>
        </is>
      </c>
      <c r="E33" t="inlineStr">
        <is>
          <t>Observation.valueCodeableConcept (LOINC 71802-3) OR Patient.extension(custom)</t>
        </is>
      </c>
      <c r="F33" t="inlineStr">
        <is>
          <t>Observation resource OR Extension ? CodeableConcept</t>
        </is>
      </c>
      <c r="G33" t="inlineStr"/>
      <c r="H33" t="inlineStr"/>
      <c r="I33" t="inlineStr"/>
      <c r="J33" t="inlineStr"/>
      <c r="K33" t="inlineStr">
        <is>
          <t>http://hl7.org/fhir/us/core/StructureDefinition/us-core-observation-social-history</t>
        </is>
      </c>
      <c r="L33" t="inlineStr"/>
      <c r="M33" t="inlineStr"/>
      <c r="N33" t="inlineStr"/>
      <c r="O33" t="inlineStr"/>
      <c r="P33" t="inlineStr"/>
      <c r="Q33" t="inlineStr"/>
      <c r="R33" t="inlineStr">
        <is>
          <t>Apply HMIS business rules to enrollment/exit/living situation tables (File 02, 03), monthly freeze logic, AccountID 1000 anchor (Syntranet) or UMPI (DAP); 4,600-8,000 HMIS enrollments processed in 22-40 seconds</t>
        </is>
      </c>
    </row>
    <row r="34">
      <c r="A34" t="inlineStr">
        <is>
          <t>Patient.occupation</t>
        </is>
      </c>
      <c r="B34" t="inlineStr">
        <is>
          <t>Case management &gt; self-report</t>
        </is>
      </c>
      <c r="C34" t="inlineStr">
        <is>
          <t>Ask Innovaccer what logic they use to arrive at SBR</t>
        </is>
      </c>
      <c r="D34" t="inlineStr">
        <is>
          <t>SDOH context; temporal considerations</t>
        </is>
      </c>
      <c r="E34" t="inlineStr">
        <is>
          <t>Observation.valueCodeableConcept (LOINC 11341-5) OR Patient.extension(us-core-occupation)</t>
        </is>
      </c>
      <c r="F34" t="inlineStr">
        <is>
          <t>Observation resource OR Extension ? CodeableConcept</t>
        </is>
      </c>
      <c r="G34" t="inlineStr"/>
      <c r="H34" t="inlineStr"/>
      <c r="I34" t="inlineStr"/>
      <c r="J34" t="inlineStr"/>
      <c r="K34" t="inlineStr">
        <is>
          <t>http://hl7.org/fhir/us/core/StructureDefinition/us-core-observation-social-history</t>
        </is>
      </c>
      <c r="L34" t="inlineStr"/>
      <c r="M34" t="inlineStr"/>
      <c r="N34" t="inlineStr"/>
      <c r="O34" t="inlineStr"/>
      <c r="P34" t="inlineStr"/>
      <c r="Q34" t="inlineStr"/>
      <c r="R34" t="inlineStr">
        <is>
          <t>Most recent self-reported or case management documented value, timestamp required, SDOH context</t>
        </is>
      </c>
    </row>
    <row r="35">
      <c r="A35" t="inlineStr">
        <is>
          <t>Encounter.class</t>
        </is>
      </c>
      <c r="B35" t="inlineStr"/>
      <c r="C35" t="inlineStr"/>
      <c r="D35" t="inlineStr">
        <is>
          <t>ADT PV1-2 (ET); CMT 99.99% fill</t>
        </is>
      </c>
      <c r="E35" t="inlineStr">
        <is>
          <t>Encounter.class</t>
        </is>
      </c>
      <c r="F35" t="inlineStr">
        <is>
          <t>code</t>
        </is>
      </c>
      <c r="G35" t="inlineStr"/>
      <c r="H35" t="inlineStr"/>
      <c r="I35" t="inlineStr"/>
      <c r="J35" t="inlineStr"/>
      <c r="K35" t="inlineStr">
        <is>
          <t>http://hl7.org/fhir/us/core/StructureDefinition/us-core-encounter</t>
        </is>
      </c>
      <c r="L35" t="inlineStr"/>
      <c r="M35" t="inlineStr"/>
      <c r="N35" t="inlineStr"/>
      <c r="O35" t="inlineStr"/>
      <c r="P35" t="inlineStr"/>
      <c r="Q35" t="inlineStr"/>
      <c r="R35" t="inlineStr"/>
    </row>
    <row r="36">
      <c r="A36" t="inlineStr">
        <is>
          <t>Encounter.serviceProvider</t>
        </is>
      </c>
      <c r="B36" t="inlineStr"/>
      <c r="C36" t="inlineStr"/>
      <c r="D36" t="inlineStr">
        <is>
          <t>ADT PV1-4 (FTN) and PV1-3 (FTID)</t>
        </is>
      </c>
      <c r="E36" t="inlineStr">
        <is>
          <t>Encounter.serviceProvider</t>
        </is>
      </c>
      <c r="F36" t="inlineStr">
        <is>
          <t>Reference(Organization)</t>
        </is>
      </c>
      <c r="G36" t="inlineStr"/>
      <c r="H36" t="inlineStr"/>
      <c r="I36" t="inlineStr"/>
      <c r="J36" t="inlineStr"/>
      <c r="K36" t="inlineStr">
        <is>
          <t>http://hl7.org/fhir/us/core/StructureDefinition/us-core-encounter</t>
        </is>
      </c>
      <c r="L36" t="inlineStr"/>
      <c r="M36" t="inlineStr"/>
      <c r="N36" t="inlineStr"/>
      <c r="O36" t="inlineStr"/>
      <c r="P36" t="inlineStr"/>
      <c r="Q36" t="inlineStr"/>
      <c r="R36" t="inlineStr"/>
    </row>
    <row r="37">
      <c r="A37" t="inlineStr">
        <is>
          <t>Encounter.identifier</t>
        </is>
      </c>
      <c r="B37" t="inlineStr"/>
      <c r="C37" t="inlineStr"/>
      <c r="D37" t="inlineStr">
        <is>
          <t>ADT PV1-19 (EID); CMT 99.99% fill</t>
        </is>
      </c>
      <c r="E37" t="inlineStr">
        <is>
          <t>Encounter.identifier</t>
        </is>
      </c>
      <c r="F37" t="inlineStr">
        <is>
          <t>Identifier</t>
        </is>
      </c>
      <c r="G37" t="inlineStr"/>
      <c r="H37" t="inlineStr"/>
      <c r="I37" t="inlineStr"/>
      <c r="J37" t="inlineStr"/>
      <c r="K37" t="inlineStr">
        <is>
          <t>http://hl7.org/fhir/us/core/StructureDefinition/us-core-encounter</t>
        </is>
      </c>
      <c r="L37" t="inlineStr"/>
      <c r="M37" t="inlineStr"/>
      <c r="N37" t="inlineStr"/>
      <c r="O37" t="inlineStr"/>
      <c r="P37" t="inlineStr"/>
      <c r="Q37" t="inlineStr"/>
      <c r="R37" t="inlineStr"/>
    </row>
    <row r="38">
      <c r="A38" t="inlineStr">
        <is>
          <t>Encounter.period.start</t>
        </is>
      </c>
      <c r="B38" t="inlineStr"/>
      <c r="C38" t="inlineStr"/>
      <c r="D38" t="inlineStr">
        <is>
          <t>ADT PV1-44 (EFDT); CMT 99.99% fill</t>
        </is>
      </c>
      <c r="E38" t="inlineStr">
        <is>
          <t>Encounter.period.start</t>
        </is>
      </c>
      <c r="F38" t="inlineStr">
        <is>
          <t>dateTime</t>
        </is>
      </c>
      <c r="G38" t="inlineStr"/>
      <c r="H38" t="inlineStr"/>
      <c r="I38" t="inlineStr"/>
      <c r="J38" t="inlineStr"/>
      <c r="K38" t="inlineStr">
        <is>
          <t>http://hl7.org/fhir/us/core/StructureDefinition/us-core-encounter</t>
        </is>
      </c>
      <c r="L38" t="inlineStr"/>
      <c r="M38" t="inlineStr"/>
      <c r="N38" t="inlineStr"/>
      <c r="O38" t="inlineStr"/>
      <c r="P38" t="inlineStr"/>
      <c r="Q38" t="inlineStr"/>
      <c r="R38" t="inlineStr"/>
    </row>
    <row r="39">
      <c r="A39" t="inlineStr">
        <is>
          <t>Encounter.period.end</t>
        </is>
      </c>
      <c r="B39" t="inlineStr"/>
      <c r="C39" t="inlineStr"/>
      <c r="D39" t="inlineStr">
        <is>
          <t>ADT PV1-45 (ELDT); CMT 22.85% fill</t>
        </is>
      </c>
      <c r="E39" t="inlineStr">
        <is>
          <t>Encounter.period.end</t>
        </is>
      </c>
      <c r="F39" t="inlineStr">
        <is>
          <t>dateTime</t>
        </is>
      </c>
      <c r="G39" t="inlineStr"/>
      <c r="H39" t="inlineStr"/>
      <c r="I39" t="inlineStr"/>
      <c r="J39" t="inlineStr"/>
      <c r="K39" t="inlineStr">
        <is>
          <t>http://hl7.org/fhir/us/core/StructureDefinition/us-core-encounter</t>
        </is>
      </c>
      <c r="L39" t="inlineStr"/>
      <c r="M39" t="inlineStr"/>
      <c r="N39" t="inlineStr"/>
      <c r="O39" t="inlineStr"/>
      <c r="P39" t="inlineStr"/>
      <c r="Q39" t="inlineStr"/>
      <c r="R39" t="inlineStr"/>
    </row>
    <row r="40">
      <c r="A40" t="inlineStr">
        <is>
          <t>Encounter.hospitalization.dischargeDisposition</t>
        </is>
      </c>
      <c r="B40" t="inlineStr"/>
      <c r="C40" t="inlineStr"/>
      <c r="D40" t="inlineStr">
        <is>
          <t>ADT PV1-36 (DRDC); ingest as received</t>
        </is>
      </c>
      <c r="E40" t="inlineStr">
        <is>
          <t>Encounter.hospitalization.dischargeDisposition</t>
        </is>
      </c>
      <c r="F40" t="inlineStr">
        <is>
          <t>CodeableConcept</t>
        </is>
      </c>
      <c r="G40" t="inlineStr"/>
      <c r="H40" t="inlineStr"/>
      <c r="I40" t="inlineStr"/>
      <c r="J40" t="inlineStr"/>
      <c r="K40" t="inlineStr">
        <is>
          <t>http://hl7.org/fhir/us/core/StructureDefinition/us-core-encounter</t>
        </is>
      </c>
      <c r="L40" t="inlineStr"/>
      <c r="M40" t="inlineStr"/>
      <c r="N40" t="inlineStr"/>
      <c r="O40" t="inlineStr"/>
      <c r="P40" t="inlineStr"/>
      <c r="Q40" t="inlineStr"/>
      <c r="R40" t="inlineStr"/>
    </row>
    <row r="41">
      <c r="A41" t="inlineStr">
        <is>
          <t>Encounter.reasonCode</t>
        </is>
      </c>
      <c r="B41" t="inlineStr"/>
      <c r="C41" t="inlineStr"/>
      <c r="D41" t="inlineStr">
        <is>
          <t>ADT PV2-3 (ER); CMT 8.4% fill</t>
        </is>
      </c>
      <c r="E41" t="inlineStr">
        <is>
          <t>Encounter.reasonCode</t>
        </is>
      </c>
      <c r="F41" t="inlineStr">
        <is>
          <t>CodeableConcept</t>
        </is>
      </c>
      <c r="G41" t="inlineStr"/>
      <c r="H41" t="inlineStr"/>
      <c r="I41" t="inlineStr"/>
      <c r="J41" t="inlineStr"/>
      <c r="K41" t="inlineStr">
        <is>
          <t>http://hl7.org/fhir/us/core/StructureDefinition/us-core-encounter</t>
        </is>
      </c>
      <c r="L41" t="inlineStr"/>
      <c r="M41" t="inlineStr"/>
      <c r="N41" t="inlineStr"/>
      <c r="O41" t="inlineStr"/>
      <c r="P41" t="inlineStr"/>
      <c r="Q41" t="inlineStr"/>
      <c r="R41" t="inlineStr"/>
    </row>
    <row r="42">
      <c r="A42" t="inlineStr">
        <is>
          <t>Encounter.location</t>
        </is>
      </c>
      <c r="B42" t="inlineStr"/>
      <c r="C42" t="inlineStr"/>
      <c r="D42" t="inlineStr">
        <is>
          <t>ADT PV1-3 (Point of Care Room Bed)</t>
        </is>
      </c>
      <c r="E42" t="inlineStr">
        <is>
          <t>Encounter.location</t>
        </is>
      </c>
      <c r="F42" t="inlineStr">
        <is>
          <t>BackboneElement</t>
        </is>
      </c>
      <c r="G42" t="inlineStr"/>
      <c r="H42" t="inlineStr"/>
      <c r="I42" t="inlineStr"/>
      <c r="J42" t="inlineStr"/>
      <c r="K42" t="inlineStr">
        <is>
          <t>http://hl7.org/fhir/us/core/StructureDefinition/us-core-encounter</t>
        </is>
      </c>
      <c r="L42" t="inlineStr"/>
      <c r="M42" t="inlineStr"/>
      <c r="N42" t="inlineStr"/>
      <c r="O42" t="inlineStr"/>
      <c r="P42" t="inlineStr"/>
      <c r="Q42" t="inlineStr"/>
      <c r="R42" t="inlineStr"/>
    </row>
    <row r="43">
      <c r="A43" t="inlineStr">
        <is>
          <t>Encounter.serviceType</t>
        </is>
      </c>
      <c r="B43" t="inlineStr"/>
      <c r="C43" t="inlineStr"/>
      <c r="D43" t="inlineStr">
        <is>
          <t>ADT PV1-10 (STC); CMT 99.99% fill</t>
        </is>
      </c>
      <c r="E43" t="inlineStr">
        <is>
          <t>Encounter.serviceType</t>
        </is>
      </c>
      <c r="F43" t="inlineStr">
        <is>
          <t>CodeableConcept</t>
        </is>
      </c>
      <c r="G43" t="inlineStr"/>
      <c r="H43" t="inlineStr"/>
      <c r="I43" t="inlineStr"/>
      <c r="J43" t="inlineStr"/>
      <c r="K43" t="inlineStr">
        <is>
          <t>http://hl7.org/fhir/us/core/StructureDefinition/us-core-encounter</t>
        </is>
      </c>
      <c r="L43" t="inlineStr"/>
      <c r="M43" t="inlineStr"/>
      <c r="N43" t="inlineStr"/>
      <c r="O43" t="inlineStr"/>
      <c r="P43" t="inlineStr"/>
      <c r="Q43" t="inlineStr"/>
      <c r="R43" t="inlineStr"/>
    </row>
    <row r="44">
      <c r="A44" t="inlineStr">
        <is>
          <t>Encounter.participant</t>
        </is>
      </c>
      <c r="B44" t="inlineStr"/>
      <c r="C44" t="inlineStr"/>
      <c r="D44" t="inlineStr">
        <is>
          <t>ADT PD1-4 (PCP); PV1 attending/referring</t>
        </is>
      </c>
      <c r="E44" t="inlineStr">
        <is>
          <t>Encounter.participant.actor</t>
        </is>
      </c>
      <c r="F44" t="inlineStr">
        <is>
          <t>Reference(Practitioner)</t>
        </is>
      </c>
      <c r="G44" t="inlineStr"/>
      <c r="H44" t="inlineStr"/>
      <c r="I44" t="inlineStr"/>
      <c r="J44" t="inlineStr"/>
      <c r="K44" t="inlineStr">
        <is>
          <t>http://hl7.org/fhir/us/core/StructureDefinition/us-core-encounter</t>
        </is>
      </c>
      <c r="L44" t="inlineStr"/>
      <c r="M44" t="inlineStr"/>
      <c r="N44" t="inlineStr"/>
      <c r="O44" t="inlineStr"/>
      <c r="P44" t="inlineStr"/>
      <c r="Q44" t="inlineStr"/>
      <c r="R44" t="inlineStr"/>
    </row>
    <row r="45">
      <c r="A45" t="inlineStr">
        <is>
          <t>Coverage.identifier</t>
        </is>
      </c>
      <c r="B45" t="inlineStr"/>
      <c r="C45" t="inlineStr"/>
      <c r="D45" t="inlineStr">
        <is>
          <t>ADT IN1-36 (INPID); CMT 99.26% fill</t>
        </is>
      </c>
      <c r="E45" t="inlineStr">
        <is>
          <t>Coverage.identifier</t>
        </is>
      </c>
      <c r="F45" t="inlineStr">
        <is>
          <t>Identifier</t>
        </is>
      </c>
      <c r="G45" t="inlineStr"/>
      <c r="H45" t="inlineStr"/>
      <c r="I45" t="inlineStr"/>
      <c r="J45" t="inlineStr"/>
      <c r="K45" t="inlineStr">
        <is>
          <t>http://hl7.org/fhir/us/core/StructureDefinition/us-core-coverage</t>
        </is>
      </c>
      <c r="L45" t="inlineStr"/>
      <c r="M45" t="inlineStr"/>
      <c r="N45" t="inlineStr"/>
      <c r="O45" t="inlineStr"/>
      <c r="P45" t="inlineStr"/>
      <c r="Q45" t="inlineStr"/>
      <c r="R45" t="inlineStr"/>
    </row>
    <row r="46">
      <c r="A46" t="inlineStr">
        <is>
          <t>Coverage.payor</t>
        </is>
      </c>
      <c r="B46" t="inlineStr"/>
      <c r="C46" t="inlineStr"/>
      <c r="D46" t="inlineStr">
        <is>
          <t>ADT IN1-4 (INCN); CMT 100% fill</t>
        </is>
      </c>
      <c r="E46" t="inlineStr">
        <is>
          <t>Coverage.payor</t>
        </is>
      </c>
      <c r="F46" t="inlineStr">
        <is>
          <t>Reference(Organization)</t>
        </is>
      </c>
      <c r="G46" t="inlineStr"/>
      <c r="H46" t="inlineStr"/>
      <c r="I46" t="inlineStr"/>
      <c r="J46" t="inlineStr"/>
      <c r="K46" t="inlineStr">
        <is>
          <t>http://hl7.org/fhir/us/core/StructureDefinition/us-core-coverage</t>
        </is>
      </c>
      <c r="L46" t="inlineStr"/>
      <c r="M46" t="inlineStr"/>
      <c r="N46" t="inlineStr"/>
      <c r="O46" t="inlineStr"/>
      <c r="P46" t="inlineStr"/>
      <c r="Q46" t="inlineStr"/>
      <c r="R46" t="inlineStr"/>
    </row>
    <row r="47">
      <c r="A47" t="inlineStr">
        <is>
          <t>Condition.code</t>
        </is>
      </c>
      <c r="B47" t="inlineStr"/>
      <c r="C47" t="inlineStr"/>
      <c r="D47" t="inlineStr">
        <is>
          <t>ADT DG1-2 DG1-3 (PDCS PD PDN)</t>
        </is>
      </c>
      <c r="E47" t="inlineStr">
        <is>
          <t>Condition.code</t>
        </is>
      </c>
      <c r="F47" t="inlineStr">
        <is>
          <t>CodeableConcept</t>
        </is>
      </c>
      <c r="G47" t="inlineStr"/>
      <c r="H47" t="inlineStr"/>
      <c r="I47" t="inlineStr"/>
      <c r="J47" t="inlineStr"/>
      <c r="K47" t="inlineStr">
        <is>
          <t>http://hl7.org/fhir/us/core/StructureDefinition/us-core-condition</t>
        </is>
      </c>
      <c r="L47" t="inlineStr"/>
      <c r="M47" t="inlineStr"/>
      <c r="N47" t="inlineStr"/>
      <c r="O47" t="inlineStr"/>
      <c r="P47" t="inlineStr"/>
      <c r="Q47" t="inlineStr"/>
      <c r="R4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4" customWidth="1" min="3" max="3"/>
    <col width="18" customWidth="1" min="4" max="4"/>
    <col width="22" customWidth="1" min="5" max="5"/>
    <col width="38" customWidth="1" min="6" max="6"/>
  </cols>
  <sheetData>
    <row r="1">
      <c r="A1" s="4" t="inlineStr">
        <is>
          <t>source_id</t>
        </is>
      </c>
      <c r="B1" s="4" t="inlineStr">
        <is>
          <t>semantic_id</t>
        </is>
      </c>
      <c r="C1" s="4" t="inlineStr">
        <is>
          <t>availability</t>
        </is>
      </c>
      <c r="D1" s="4" t="inlineStr">
        <is>
          <t>completeness_pct</t>
        </is>
      </c>
      <c r="E1" s="4" t="inlineStr">
        <is>
          <t>timeliness_sla_hours</t>
        </is>
      </c>
      <c r="F1" s="4" t="inlineStr">
        <is>
          <t>notes</t>
        </is>
      </c>
    </row>
    <row r="2">
      <c r="A2" t="inlineStr">
        <is>
          <t>cmt</t>
        </is>
      </c>
      <c r="B2" t="inlineStr">
        <is>
          <t>Patient.name_first</t>
        </is>
      </c>
      <c r="C2" t="inlineStr">
        <is>
          <t>unknown</t>
        </is>
      </c>
      <c r="D2" t="inlineStr"/>
      <c r="E2" t="inlineStr"/>
      <c r="F2" t="inlineStr"/>
    </row>
    <row r="3">
      <c r="A3" t="inlineStr">
        <is>
          <t>cmt</t>
        </is>
      </c>
      <c r="B3" t="inlineStr">
        <is>
          <t>Patient.name_last</t>
        </is>
      </c>
      <c r="C3" t="inlineStr">
        <is>
          <t>unknown</t>
        </is>
      </c>
      <c r="D3" t="inlineStr"/>
      <c r="E3" t="inlineStr"/>
      <c r="F3" t="inlineStr"/>
    </row>
    <row r="4">
      <c r="A4" t="inlineStr">
        <is>
          <t>cmt</t>
        </is>
      </c>
      <c r="B4" t="inlineStr">
        <is>
          <t>Patient.name_middle</t>
        </is>
      </c>
      <c r="C4" t="inlineStr">
        <is>
          <t>unknown</t>
        </is>
      </c>
      <c r="D4" t="inlineStr"/>
      <c r="E4" t="inlineStr"/>
      <c r="F4" t="inlineStr"/>
    </row>
    <row r="5">
      <c r="A5" t="inlineStr">
        <is>
          <t>cmt</t>
        </is>
      </c>
      <c r="B5" t="inlineStr">
        <is>
          <t>Patient.name_suffix</t>
        </is>
      </c>
      <c r="C5" t="inlineStr">
        <is>
          <t>unknown</t>
        </is>
      </c>
      <c r="D5" t="inlineStr"/>
      <c r="E5" t="inlineStr"/>
      <c r="F5" t="inlineStr"/>
    </row>
    <row r="6">
      <c r="A6" t="inlineStr">
        <is>
          <t>cmt</t>
        </is>
      </c>
      <c r="B6" t="inlineStr">
        <is>
          <t>Patient.name_prev</t>
        </is>
      </c>
      <c r="C6" t="inlineStr">
        <is>
          <t>unknown</t>
        </is>
      </c>
      <c r="D6" t="inlineStr"/>
      <c r="E6" t="inlineStr"/>
      <c r="F6" t="inlineStr"/>
    </row>
    <row r="7">
      <c r="A7" t="inlineStr">
        <is>
          <t>cmt</t>
        </is>
      </c>
      <c r="B7" t="inlineStr">
        <is>
          <t>Patient.birth_date</t>
        </is>
      </c>
      <c r="C7" t="inlineStr">
        <is>
          <t>unknown</t>
        </is>
      </c>
      <c r="D7" t="inlineStr"/>
      <c r="E7" t="inlineStr"/>
      <c r="F7" t="inlineStr"/>
    </row>
    <row r="8">
      <c r="A8" t="inlineStr">
        <is>
          <t>cmt</t>
        </is>
      </c>
      <c r="B8" t="inlineStr">
        <is>
          <t>Patient.death_date</t>
        </is>
      </c>
      <c r="C8" t="inlineStr">
        <is>
          <t>unknown</t>
        </is>
      </c>
      <c r="D8" t="inlineStr"/>
      <c r="E8" t="inlineStr"/>
      <c r="F8" t="inlineStr"/>
    </row>
    <row r="9">
      <c r="A9" t="inlineStr">
        <is>
          <t>cmt</t>
        </is>
      </c>
      <c r="B9" t="inlineStr">
        <is>
          <t>Patient.birth_sex</t>
        </is>
      </c>
      <c r="C9" t="inlineStr">
        <is>
          <t>partial</t>
        </is>
      </c>
      <c r="D9" t="inlineStr"/>
      <c r="E9" t="inlineStr"/>
      <c r="F9" t="inlineStr">
        <is>
          <t>CMT roster; POC pilot</t>
        </is>
      </c>
    </row>
    <row r="10">
      <c r="A10" t="inlineStr">
        <is>
          <t>cmt</t>
        </is>
      </c>
      <c r="B10" t="inlineStr">
        <is>
          <t>Patient.gender_id</t>
        </is>
      </c>
      <c r="C10" t="inlineStr">
        <is>
          <t>partial</t>
        </is>
      </c>
      <c r="D10" t="inlineStr"/>
      <c r="E10" t="inlineStr"/>
      <c r="F10" t="inlineStr">
        <is>
          <t>CMT roster; POC pilot</t>
        </is>
      </c>
    </row>
    <row r="11">
      <c r="A11" t="inlineStr">
        <is>
          <t>cmt</t>
        </is>
      </c>
      <c r="B11" t="inlineStr">
        <is>
          <t>Patient.sexual_orient</t>
        </is>
      </c>
      <c r="C11" t="inlineStr">
        <is>
          <t>unknown</t>
        </is>
      </c>
      <c r="D11" t="inlineStr"/>
      <c r="E11" t="inlineStr"/>
      <c r="F11" t="inlineStr"/>
    </row>
    <row r="12">
      <c r="A12" t="inlineStr">
        <is>
          <t>cmt</t>
        </is>
      </c>
      <c r="B12" t="inlineStr">
        <is>
          <t>Patient.race</t>
        </is>
      </c>
      <c r="C12" t="inlineStr">
        <is>
          <t>partial</t>
        </is>
      </c>
      <c r="D12" t="inlineStr"/>
      <c r="E12" t="inlineStr"/>
      <c r="F12" t="inlineStr">
        <is>
          <t>CMT roster human fields; anonymous list excluded per Verato; POC pilot</t>
        </is>
      </c>
    </row>
    <row r="13">
      <c r="A13" t="inlineStr">
        <is>
          <t>cmt</t>
        </is>
      </c>
      <c r="B13" t="inlineStr">
        <is>
          <t>Patient.ethnicity</t>
        </is>
      </c>
      <c r="C13" t="inlineStr">
        <is>
          <t>partial</t>
        </is>
      </c>
      <c r="D13" t="inlineStr"/>
      <c r="E13" t="inlineStr"/>
      <c r="F13" t="inlineStr">
        <is>
          <t>CMT roster; POC pilot</t>
        </is>
      </c>
    </row>
    <row r="14">
      <c r="A14" t="inlineStr">
        <is>
          <t>cmt</t>
        </is>
      </c>
      <c r="B14" t="inlineStr">
        <is>
          <t>Patient.language</t>
        </is>
      </c>
      <c r="C14" t="inlineStr">
        <is>
          <t>partial</t>
        </is>
      </c>
      <c r="D14" t="inlineStr"/>
      <c r="E14" t="inlineStr"/>
      <c r="F14" t="inlineStr">
        <is>
          <t>CMT roster; POC pilot</t>
        </is>
      </c>
    </row>
    <row r="15">
      <c r="A15" t="inlineStr">
        <is>
          <t>cmt</t>
        </is>
      </c>
      <c r="B15" t="inlineStr">
        <is>
          <t>Patient.marital_status</t>
        </is>
      </c>
      <c r="C15" t="inlineStr">
        <is>
          <t>unknown</t>
        </is>
      </c>
      <c r="D15" t="inlineStr"/>
      <c r="E15" t="inlineStr"/>
      <c r="F15" t="inlineStr"/>
    </row>
    <row r="16">
      <c r="A16" t="inlineStr">
        <is>
          <t>cmt</t>
        </is>
      </c>
      <c r="B16" t="inlineStr">
        <is>
          <t>Patient.religion</t>
        </is>
      </c>
      <c r="C16" t="inlineStr">
        <is>
          <t>unknown</t>
        </is>
      </c>
      <c r="D16" t="inlineStr"/>
      <c r="E16" t="inlineStr"/>
      <c r="F16" t="inlineStr"/>
    </row>
    <row r="17">
      <c r="A17" t="inlineStr">
        <is>
          <t>cmt</t>
        </is>
      </c>
      <c r="B17" t="inlineStr">
        <is>
          <t>Patient.address</t>
        </is>
      </c>
      <c r="C17" t="inlineStr">
        <is>
          <t>unknown</t>
        </is>
      </c>
      <c r="D17" t="inlineStr"/>
      <c r="E17" t="inlineStr"/>
      <c r="F17" t="inlineStr"/>
    </row>
    <row r="18">
      <c r="A18" t="inlineStr">
        <is>
          <t>cmt</t>
        </is>
      </c>
      <c r="B18" t="inlineStr">
        <is>
          <t>Patient.address_line1</t>
        </is>
      </c>
      <c r="C18" t="inlineStr">
        <is>
          <t>unknown</t>
        </is>
      </c>
      <c r="D18" t="inlineStr"/>
      <c r="E18" t="inlineStr"/>
      <c r="F18" t="inlineStr"/>
    </row>
    <row r="19">
      <c r="A19" t="inlineStr">
        <is>
          <t>cmt</t>
        </is>
      </c>
      <c r="B19" t="inlineStr">
        <is>
          <t>Patient.address_line2</t>
        </is>
      </c>
      <c r="C19" t="inlineStr">
        <is>
          <t>unknown</t>
        </is>
      </c>
      <c r="D19" t="inlineStr"/>
      <c r="E19" t="inlineStr"/>
      <c r="F19" t="inlineStr"/>
    </row>
    <row r="20">
      <c r="A20" t="inlineStr">
        <is>
          <t>cmt</t>
        </is>
      </c>
      <c r="B20" t="inlineStr">
        <is>
          <t>Patient.address_line3</t>
        </is>
      </c>
      <c r="C20" t="inlineStr">
        <is>
          <t>unknown</t>
        </is>
      </c>
      <c r="D20" t="inlineStr"/>
      <c r="E20" t="inlineStr"/>
      <c r="F20" t="inlineStr"/>
    </row>
    <row r="21">
      <c r="A21" t="inlineStr">
        <is>
          <t>cmt</t>
        </is>
      </c>
      <c r="B21" t="inlineStr">
        <is>
          <t>Patient.address_city</t>
        </is>
      </c>
      <c r="C21" t="inlineStr">
        <is>
          <t>unknown</t>
        </is>
      </c>
      <c r="D21" t="inlineStr"/>
      <c r="E21" t="inlineStr"/>
      <c r="F21" t="inlineStr"/>
    </row>
    <row r="22">
      <c r="A22" t="inlineStr">
        <is>
          <t>cmt</t>
        </is>
      </c>
      <c r="B22" t="inlineStr">
        <is>
          <t>Patient.address_state</t>
        </is>
      </c>
      <c r="C22" t="inlineStr">
        <is>
          <t>unknown</t>
        </is>
      </c>
      <c r="D22" t="inlineStr"/>
      <c r="E22" t="inlineStr"/>
      <c r="F22" t="inlineStr"/>
    </row>
    <row r="23">
      <c r="A23" t="inlineStr">
        <is>
          <t>cmt</t>
        </is>
      </c>
      <c r="B23" t="inlineStr">
        <is>
          <t>Patient.address_zip</t>
        </is>
      </c>
      <c r="C23" t="inlineStr">
        <is>
          <t>unknown</t>
        </is>
      </c>
      <c r="D23" t="inlineStr"/>
      <c r="E23" t="inlineStr"/>
      <c r="F23" t="inlineStr"/>
    </row>
    <row r="24">
      <c r="A24" t="inlineStr">
        <is>
          <t>cmt</t>
        </is>
      </c>
      <c r="B24" t="inlineStr">
        <is>
          <t>Patient.address_country</t>
        </is>
      </c>
      <c r="C24" t="inlineStr">
        <is>
          <t>unknown</t>
        </is>
      </c>
      <c r="D24" t="inlineStr"/>
      <c r="E24" t="inlineStr"/>
      <c r="F24" t="inlineStr"/>
    </row>
    <row r="25">
      <c r="A25" t="inlineStr">
        <is>
          <t>cmt</t>
        </is>
      </c>
      <c r="B25" t="inlineStr">
        <is>
          <t>Patient.address_block</t>
        </is>
      </c>
      <c r="C25" t="inlineStr">
        <is>
          <t>unknown</t>
        </is>
      </c>
      <c r="D25" t="inlineStr"/>
      <c r="E25" t="inlineStr"/>
      <c r="F25" t="inlineStr"/>
    </row>
    <row r="26">
      <c r="A26" t="inlineStr">
        <is>
          <t>cmt</t>
        </is>
      </c>
      <c r="B26" t="inlineStr">
        <is>
          <t>Patient.address_district</t>
        </is>
      </c>
      <c r="C26" t="inlineStr">
        <is>
          <t>unknown</t>
        </is>
      </c>
      <c r="D26" t="inlineStr"/>
      <c r="E26" t="inlineStr"/>
      <c r="F26" t="inlineStr"/>
    </row>
    <row r="27">
      <c r="A27" t="inlineStr">
        <is>
          <t>cmt</t>
        </is>
      </c>
      <c r="B27" t="inlineStr">
        <is>
          <t>Patient.address_prev</t>
        </is>
      </c>
      <c r="C27" t="inlineStr">
        <is>
          <t>unknown</t>
        </is>
      </c>
      <c r="D27" t="inlineStr"/>
      <c r="E27" t="inlineStr"/>
      <c r="F27" t="inlineStr"/>
    </row>
    <row r="28">
      <c r="A28" t="inlineStr">
        <is>
          <t>cmt</t>
        </is>
      </c>
      <c r="B28" t="inlineStr">
        <is>
          <t>Patient.phone</t>
        </is>
      </c>
      <c r="C28" t="inlineStr">
        <is>
          <t>unknown</t>
        </is>
      </c>
      <c r="D28" t="inlineStr"/>
      <c r="E28" t="inlineStr"/>
      <c r="F28" t="inlineStr"/>
    </row>
    <row r="29">
      <c r="A29" t="inlineStr">
        <is>
          <t>cmt</t>
        </is>
      </c>
      <c r="B29" t="inlineStr">
        <is>
          <t>Patient.email</t>
        </is>
      </c>
      <c r="C29" t="inlineStr">
        <is>
          <t>unknown</t>
        </is>
      </c>
      <c r="D29" t="inlineStr"/>
      <c r="E29" t="inlineStr"/>
      <c r="F29" t="inlineStr"/>
    </row>
    <row r="30">
      <c r="A30" t="inlineStr">
        <is>
          <t>cmt</t>
        </is>
      </c>
      <c r="B30" t="inlineStr">
        <is>
          <t>Patient.ssn</t>
        </is>
      </c>
      <c r="C30" t="inlineStr">
        <is>
          <t>unknown</t>
        </is>
      </c>
      <c r="D30" t="inlineStr"/>
      <c r="E30" t="inlineStr"/>
      <c r="F30" t="inlineStr"/>
    </row>
    <row r="31">
      <c r="A31" t="inlineStr">
        <is>
          <t>cmt</t>
        </is>
      </c>
      <c r="B31" t="inlineStr">
        <is>
          <t>Patient.related_person</t>
        </is>
      </c>
      <c r="C31" t="inlineStr">
        <is>
          <t>unknown</t>
        </is>
      </c>
      <c r="D31" t="inlineStr"/>
      <c r="E31" t="inlineStr"/>
      <c r="F31" t="inlineStr"/>
    </row>
    <row r="32">
      <c r="A32" t="inlineStr">
        <is>
          <t>cmt</t>
        </is>
      </c>
      <c r="B32" t="inlineStr">
        <is>
          <t>Patient.tribal_affil</t>
        </is>
      </c>
      <c r="C32" t="inlineStr">
        <is>
          <t>unknown</t>
        </is>
      </c>
      <c r="D32" t="inlineStr"/>
      <c r="E32" t="inlineStr"/>
      <c r="F32" t="inlineStr"/>
    </row>
    <row r="33">
      <c r="A33" t="inlineStr">
        <is>
          <t>cmt</t>
        </is>
      </c>
      <c r="B33" t="inlineStr">
        <is>
          <t>Patient.housing_status</t>
        </is>
      </c>
      <c r="C33" t="inlineStr">
        <is>
          <t>unknown</t>
        </is>
      </c>
      <c r="D33" t="inlineStr"/>
      <c r="E33" t="inlineStr"/>
      <c r="F33" t="inlineStr"/>
    </row>
    <row r="34">
      <c r="A34" t="inlineStr">
        <is>
          <t>cmt</t>
        </is>
      </c>
      <c r="B34" t="inlineStr">
        <is>
          <t>Patient.occupation</t>
        </is>
      </c>
      <c r="C34" t="inlineStr">
        <is>
          <t>unknown</t>
        </is>
      </c>
      <c r="D34" t="inlineStr"/>
      <c r="E34" t="inlineStr"/>
      <c r="F34" t="inlineStr"/>
    </row>
    <row r="35">
      <c r="A35" t="inlineStr">
        <is>
          <t>cmt</t>
        </is>
      </c>
      <c r="B35" t="inlineStr">
        <is>
          <t>Encounter.class</t>
        </is>
      </c>
      <c r="C35" t="inlineStr">
        <is>
          <t>unknown</t>
        </is>
      </c>
      <c r="D35" t="inlineStr"/>
      <c r="E35" t="inlineStr"/>
      <c r="F35" t="inlineStr"/>
    </row>
    <row r="36">
      <c r="A36" t="inlineStr">
        <is>
          <t>cmt</t>
        </is>
      </c>
      <c r="B36" t="inlineStr">
        <is>
          <t>Encounter.serviceProvider</t>
        </is>
      </c>
      <c r="C36" t="inlineStr">
        <is>
          <t>unknown</t>
        </is>
      </c>
      <c r="D36" t="inlineStr"/>
      <c r="E36" t="inlineStr"/>
      <c r="F36" t="inlineStr"/>
    </row>
    <row r="37">
      <c r="A37" t="inlineStr">
        <is>
          <t>cmt</t>
        </is>
      </c>
      <c r="B37" t="inlineStr">
        <is>
          <t>Encounter.identifier</t>
        </is>
      </c>
      <c r="C37" t="inlineStr">
        <is>
          <t>unknown</t>
        </is>
      </c>
      <c r="D37" t="inlineStr"/>
      <c r="E37" t="inlineStr"/>
      <c r="F37" t="inlineStr"/>
    </row>
    <row r="38">
      <c r="A38" t="inlineStr">
        <is>
          <t>cmt</t>
        </is>
      </c>
      <c r="B38" t="inlineStr">
        <is>
          <t>Encounter.period.start</t>
        </is>
      </c>
      <c r="C38" t="inlineStr">
        <is>
          <t>unknown</t>
        </is>
      </c>
      <c r="D38" t="inlineStr"/>
      <c r="E38" t="inlineStr"/>
      <c r="F38" t="inlineStr"/>
    </row>
    <row r="39">
      <c r="A39" t="inlineStr">
        <is>
          <t>cmt</t>
        </is>
      </c>
      <c r="B39" t="inlineStr">
        <is>
          <t>Encounter.period.end</t>
        </is>
      </c>
      <c r="C39" t="inlineStr">
        <is>
          <t>unknown</t>
        </is>
      </c>
      <c r="D39" t="inlineStr"/>
      <c r="E39" t="inlineStr"/>
      <c r="F39" t="inlineStr"/>
    </row>
    <row r="40">
      <c r="A40" t="inlineStr">
        <is>
          <t>cmt</t>
        </is>
      </c>
      <c r="B40" t="inlineStr">
        <is>
          <t>Encounter.hospitalization.dischargeDisposition</t>
        </is>
      </c>
      <c r="C40" t="inlineStr">
        <is>
          <t>unknown</t>
        </is>
      </c>
      <c r="D40" t="inlineStr"/>
      <c r="E40" t="inlineStr"/>
      <c r="F40" t="inlineStr"/>
    </row>
    <row r="41">
      <c r="A41" t="inlineStr">
        <is>
          <t>cmt</t>
        </is>
      </c>
      <c r="B41" t="inlineStr">
        <is>
          <t>Encounter.reasonCode</t>
        </is>
      </c>
      <c r="C41" t="inlineStr">
        <is>
          <t>unknown</t>
        </is>
      </c>
      <c r="D41" t="inlineStr"/>
      <c r="E41" t="inlineStr"/>
      <c r="F41" t="inlineStr"/>
    </row>
    <row r="42">
      <c r="A42" t="inlineStr">
        <is>
          <t>cmt</t>
        </is>
      </c>
      <c r="B42" t="inlineStr">
        <is>
          <t>Encounter.location</t>
        </is>
      </c>
      <c r="C42" t="inlineStr">
        <is>
          <t>unknown</t>
        </is>
      </c>
      <c r="D42" t="inlineStr"/>
      <c r="E42" t="inlineStr"/>
      <c r="F42" t="inlineStr"/>
    </row>
    <row r="43">
      <c r="A43" t="inlineStr">
        <is>
          <t>cmt</t>
        </is>
      </c>
      <c r="B43" t="inlineStr">
        <is>
          <t>Encounter.serviceType</t>
        </is>
      </c>
      <c r="C43" t="inlineStr">
        <is>
          <t>unknown</t>
        </is>
      </c>
      <c r="D43" t="inlineStr"/>
      <c r="E43" t="inlineStr"/>
      <c r="F43" t="inlineStr"/>
    </row>
    <row r="44">
      <c r="A44" t="inlineStr">
        <is>
          <t>cmt</t>
        </is>
      </c>
      <c r="B44" t="inlineStr">
        <is>
          <t>Encounter.participant</t>
        </is>
      </c>
      <c r="C44" t="inlineStr">
        <is>
          <t>unknown</t>
        </is>
      </c>
      <c r="D44" t="inlineStr"/>
      <c r="E44" t="inlineStr"/>
      <c r="F44" t="inlineStr"/>
    </row>
    <row r="45">
      <c r="A45" t="inlineStr">
        <is>
          <t>cmt</t>
        </is>
      </c>
      <c r="B45" t="inlineStr">
        <is>
          <t>Coverage.identifier</t>
        </is>
      </c>
      <c r="C45" t="inlineStr">
        <is>
          <t>unknown</t>
        </is>
      </c>
      <c r="D45" t="inlineStr"/>
      <c r="E45" t="inlineStr"/>
      <c r="F45" t="inlineStr"/>
    </row>
    <row r="46">
      <c r="A46" t="inlineStr">
        <is>
          <t>cmt</t>
        </is>
      </c>
      <c r="B46" t="inlineStr">
        <is>
          <t>Coverage.payor</t>
        </is>
      </c>
      <c r="C46" t="inlineStr">
        <is>
          <t>unknown</t>
        </is>
      </c>
      <c r="D46" t="inlineStr"/>
      <c r="E46" t="inlineStr"/>
      <c r="F46" t="inlineStr"/>
    </row>
    <row r="47">
      <c r="A47" t="inlineStr">
        <is>
          <t>cmt</t>
        </is>
      </c>
      <c r="B47" t="inlineStr">
        <is>
          <t>Condition.code</t>
        </is>
      </c>
      <c r="C47" t="inlineStr">
        <is>
          <t>unknown</t>
        </is>
      </c>
      <c r="D47" t="inlineStr"/>
      <c r="E47" t="inlineStr"/>
      <c r="F47"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4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38" customWidth="1" min="5" max="5"/>
    <col width="12" customWidth="1" min="6" max="6"/>
    <col width="13" customWidth="1" min="7" max="7"/>
    <col width="13" customWidth="1" min="8" max="8"/>
    <col width="38" customWidth="1" min="9" max="9"/>
    <col width="38" customWidth="1" min="10" max="10"/>
    <col width="38" customWidth="1" min="11" max="11"/>
    <col width="16" customWidth="1" min="12" max="12"/>
    <col width="19" customWidth="1" min="13" max="13"/>
  </cols>
  <sheetData>
    <row r="1">
      <c r="A1" s="4" t="inlineStr">
        <is>
          <t>message_format</t>
        </is>
      </c>
      <c r="B1" s="4" t="inlineStr">
        <is>
          <t>message_type</t>
        </is>
      </c>
      <c r="C1" s="4" t="inlineStr">
        <is>
          <t>segment_id</t>
        </is>
      </c>
      <c r="D1" s="4" t="inlineStr">
        <is>
          <t>field_id</t>
        </is>
      </c>
      <c r="E1" s="4" t="inlineStr">
        <is>
          <t>field_name</t>
        </is>
      </c>
      <c r="F1" s="4" t="inlineStr">
        <is>
          <t>data_type</t>
        </is>
      </c>
      <c r="G1" s="4" t="inlineStr">
        <is>
          <t>optionality</t>
        </is>
      </c>
      <c r="H1" s="4" t="inlineStr">
        <is>
          <t>cardinality</t>
        </is>
      </c>
      <c r="I1" s="4" t="inlineStr">
        <is>
          <t>semantic_id</t>
        </is>
      </c>
      <c r="J1" s="4" t="inlineStr">
        <is>
          <t>fhir_r4_path</t>
        </is>
      </c>
      <c r="K1" s="4" t="inlineStr">
        <is>
          <t>notes</t>
        </is>
      </c>
      <c r="L1" s="4" t="inlineStr">
        <is>
          <t>mapping_status</t>
        </is>
      </c>
      <c r="M1" s="4" t="inlineStr">
        <is>
          <t>hl7_ce_encoding</t>
        </is>
      </c>
    </row>
    <row r="2">
      <c r="A2" t="inlineStr">
        <is>
          <t>ADT</t>
        </is>
      </c>
      <c r="B2" t="inlineStr">
        <is>
          <t>A08</t>
        </is>
      </c>
      <c r="C2" t="inlineStr">
        <is>
          <t>PID</t>
        </is>
      </c>
      <c r="D2" t="inlineStr">
        <is>
          <t>PID-3</t>
        </is>
      </c>
      <c r="E2" t="inlineStr">
        <is>
          <t>Source Member ID</t>
        </is>
      </c>
      <c r="F2" t="inlineStr">
        <is>
          <t>CX</t>
        </is>
      </c>
      <c r="G2" t="inlineStr">
        <is>
          <t>R</t>
        </is>
      </c>
      <c r="H2" t="inlineStr">
        <is>
          <t>1</t>
        </is>
      </c>
      <c r="I2" t="inlineStr">
        <is>
          <t>Patient.identifier</t>
        </is>
      </c>
      <c r="J2" t="inlineStr">
        <is>
          <t>Patient.identifier</t>
        </is>
      </c>
      <c r="K2" t="inlineStr">
        <is>
          <t>MRN/patient identifier in source system</t>
        </is>
      </c>
      <c r="L2" t="inlineStr">
        <is>
          <t>mapped</t>
        </is>
      </c>
      <c r="M2" t="inlineStr"/>
    </row>
    <row r="3">
      <c r="A3" t="inlineStr">
        <is>
          <t>ADT</t>
        </is>
      </c>
      <c r="B3" t="inlineStr">
        <is>
          <t>A08</t>
        </is>
      </c>
      <c r="C3" t="inlineStr">
        <is>
          <t>PID</t>
        </is>
      </c>
      <c r="D3" t="inlineStr">
        <is>
          <t>PID-3</t>
        </is>
      </c>
      <c r="E3" t="inlineStr">
        <is>
          <t>Source Member ID Type</t>
        </is>
      </c>
      <c r="F3" t="inlineStr">
        <is>
          <t>IS</t>
        </is>
      </c>
      <c r="G3" t="inlineStr">
        <is>
          <t>R</t>
        </is>
      </c>
      <c r="H3" t="inlineStr">
        <is>
          <t>1</t>
        </is>
      </c>
      <c r="I3" t="inlineStr">
        <is>
          <t>Patient.identifier</t>
        </is>
      </c>
      <c r="J3" t="inlineStr">
        <is>
          <t>Patient.identifier.type</t>
        </is>
      </c>
      <c r="K3" t="inlineStr">
        <is>
          <t>MRN / Patient ID / Subscriber ID</t>
        </is>
      </c>
      <c r="L3" t="inlineStr">
        <is>
          <t>mapped</t>
        </is>
      </c>
      <c r="M3" t="inlineStr"/>
    </row>
    <row r="4">
      <c r="A4" t="inlineStr">
        <is>
          <t>ADT</t>
        </is>
      </c>
      <c r="B4" t="inlineStr">
        <is>
          <t>A08</t>
        </is>
      </c>
      <c r="C4" t="inlineStr">
        <is>
          <t>PID</t>
        </is>
      </c>
      <c r="D4" t="inlineStr">
        <is>
          <t>PID-5</t>
        </is>
      </c>
      <c r="E4" t="inlineStr">
        <is>
          <t>Last Name</t>
        </is>
      </c>
      <c r="F4" t="inlineStr">
        <is>
          <t>XPN</t>
        </is>
      </c>
      <c r="G4" t="inlineStr">
        <is>
          <t>R</t>
        </is>
      </c>
      <c r="H4" t="inlineStr">
        <is>
          <t>1</t>
        </is>
      </c>
      <c r="I4" t="inlineStr">
        <is>
          <t>Patient.name_last</t>
        </is>
      </c>
      <c r="J4" t="inlineStr">
        <is>
          <t>Patient.name.family</t>
        </is>
      </c>
      <c r="K4" t="inlineStr">
        <is>
          <t>Patient last name</t>
        </is>
      </c>
      <c r="L4" t="inlineStr">
        <is>
          <t>mapped</t>
        </is>
      </c>
      <c r="M4" t="inlineStr"/>
    </row>
    <row r="5">
      <c r="A5" t="inlineStr">
        <is>
          <t>ADT</t>
        </is>
      </c>
      <c r="B5" t="inlineStr">
        <is>
          <t>A08</t>
        </is>
      </c>
      <c r="C5" t="inlineStr">
        <is>
          <t>PID</t>
        </is>
      </c>
      <c r="D5" t="inlineStr">
        <is>
          <t>PID-5</t>
        </is>
      </c>
      <c r="E5" t="inlineStr">
        <is>
          <t>First Name</t>
        </is>
      </c>
      <c r="F5" t="inlineStr">
        <is>
          <t>XPN</t>
        </is>
      </c>
      <c r="G5" t="inlineStr">
        <is>
          <t>R</t>
        </is>
      </c>
      <c r="H5" t="inlineStr">
        <is>
          <t>1</t>
        </is>
      </c>
      <c r="I5" t="inlineStr">
        <is>
          <t>Patient.name_first</t>
        </is>
      </c>
      <c r="J5" t="inlineStr">
        <is>
          <t>Patient.name.given</t>
        </is>
      </c>
      <c r="K5" t="inlineStr">
        <is>
          <t>Patient first name</t>
        </is>
      </c>
      <c r="L5" t="inlineStr">
        <is>
          <t>mapped</t>
        </is>
      </c>
      <c r="M5" t="inlineStr"/>
    </row>
    <row r="6">
      <c r="A6" t="inlineStr">
        <is>
          <t>ADT</t>
        </is>
      </c>
      <c r="B6" t="inlineStr">
        <is>
          <t>A08</t>
        </is>
      </c>
      <c r="C6" t="inlineStr">
        <is>
          <t>PID</t>
        </is>
      </c>
      <c r="D6" t="inlineStr">
        <is>
          <t>PID-5</t>
        </is>
      </c>
      <c r="E6" t="inlineStr">
        <is>
          <t>Middle Name</t>
        </is>
      </c>
      <c r="F6" t="inlineStr">
        <is>
          <t>XPN</t>
        </is>
      </c>
      <c r="G6" t="inlineStr">
        <is>
          <t>R</t>
        </is>
      </c>
      <c r="H6" t="inlineStr">
        <is>
          <t>1</t>
        </is>
      </c>
      <c r="I6" t="inlineStr">
        <is>
          <t>Patient.name_middle</t>
        </is>
      </c>
      <c r="J6" t="inlineStr">
        <is>
          <t>Patient.name.given</t>
        </is>
      </c>
      <c r="K6" t="inlineStr">
        <is>
          <t>CMT: 77.53% fill; alphanumeric values observed</t>
        </is>
      </c>
      <c r="L6" t="inlineStr">
        <is>
          <t>mapped</t>
        </is>
      </c>
      <c r="M6" t="inlineStr"/>
    </row>
    <row r="7">
      <c r="A7" t="inlineStr">
        <is>
          <t>ADT</t>
        </is>
      </c>
      <c r="B7" t="inlineStr">
        <is>
          <t>A08</t>
        </is>
      </c>
      <c r="C7" t="inlineStr">
        <is>
          <t>PID</t>
        </is>
      </c>
      <c r="D7" t="inlineStr">
        <is>
          <t>PID-7</t>
        </is>
      </c>
      <c r="E7" t="inlineStr">
        <is>
          <t>Patient Date of Birth</t>
        </is>
      </c>
      <c r="F7" t="inlineStr">
        <is>
          <t>TS</t>
        </is>
      </c>
      <c r="G7" t="inlineStr">
        <is>
          <t>R</t>
        </is>
      </c>
      <c r="H7" t="inlineStr">
        <is>
          <t>1</t>
        </is>
      </c>
      <c r="I7" t="inlineStr">
        <is>
          <t>Patient.birth_date</t>
        </is>
      </c>
      <c r="J7" t="inlineStr">
        <is>
          <t>Patient.birthDate</t>
        </is>
      </c>
      <c r="K7" t="inlineStr">
        <is>
          <t>YYYYMMDD format</t>
        </is>
      </c>
      <c r="L7" t="inlineStr">
        <is>
          <t>mapped</t>
        </is>
      </c>
      <c r="M7" t="inlineStr"/>
    </row>
    <row r="8">
      <c r="A8" t="inlineStr">
        <is>
          <t>ADT</t>
        </is>
      </c>
      <c r="B8" t="inlineStr">
        <is>
          <t>A08</t>
        </is>
      </c>
      <c r="C8" t="inlineStr">
        <is>
          <t>PID</t>
        </is>
      </c>
      <c r="D8" t="inlineStr">
        <is>
          <t>PID-8</t>
        </is>
      </c>
      <c r="E8" t="inlineStr">
        <is>
          <t>Patient Gender code</t>
        </is>
      </c>
      <c r="F8" t="inlineStr">
        <is>
          <t>IS</t>
        </is>
      </c>
      <c r="G8" t="inlineStr">
        <is>
          <t>R</t>
        </is>
      </c>
      <c r="H8" t="inlineStr">
        <is>
          <t>1</t>
        </is>
      </c>
      <c r="I8" t="inlineStr">
        <is>
          <t>Patient.birth_sex</t>
        </is>
      </c>
      <c r="J8" t="inlineStr">
        <is>
          <t>Patient.extension(us-core-birthsex)</t>
        </is>
      </c>
      <c r="K8" t="inlineStr">
        <is>
          <t>F/M/U</t>
        </is>
      </c>
      <c r="L8" t="inlineStr">
        <is>
          <t>mapped</t>
        </is>
      </c>
      <c r="M8" t="inlineStr"/>
    </row>
    <row r="9">
      <c r="A9" t="inlineStr">
        <is>
          <t>ADT</t>
        </is>
      </c>
      <c r="B9" t="inlineStr">
        <is>
          <t>A08</t>
        </is>
      </c>
      <c r="C9" t="inlineStr">
        <is>
          <t>PID</t>
        </is>
      </c>
      <c r="D9" t="inlineStr">
        <is>
          <t>PID-11</t>
        </is>
      </c>
      <c r="E9" t="inlineStr">
        <is>
          <t>Patient Primary Street Address 1</t>
        </is>
      </c>
      <c r="F9" t="inlineStr">
        <is>
          <t>XAD</t>
        </is>
      </c>
      <c r="G9" t="inlineStr">
        <is>
          <t>O</t>
        </is>
      </c>
      <c r="H9" t="inlineStr">
        <is>
          <t>1</t>
        </is>
      </c>
      <c r="I9" t="inlineStr">
        <is>
          <t>Patient.address_line1</t>
        </is>
      </c>
      <c r="J9" t="inlineStr">
        <is>
          <t>Patient.address.line</t>
        </is>
      </c>
      <c r="K9" t="inlineStr">
        <is>
          <t>96.44% fill CMT</t>
        </is>
      </c>
      <c r="L9" t="inlineStr">
        <is>
          <t>mapped</t>
        </is>
      </c>
      <c r="M9" t="inlineStr"/>
    </row>
    <row r="10">
      <c r="A10" t="inlineStr">
        <is>
          <t>ADT</t>
        </is>
      </c>
      <c r="B10" t="inlineStr">
        <is>
          <t>A08</t>
        </is>
      </c>
      <c r="C10" t="inlineStr">
        <is>
          <t>PID</t>
        </is>
      </c>
      <c r="D10" t="inlineStr">
        <is>
          <t>PID-11</t>
        </is>
      </c>
      <c r="E10" t="inlineStr">
        <is>
          <t>Patient Primary Street Address 2</t>
        </is>
      </c>
      <c r="F10" t="inlineStr">
        <is>
          <t>XAD</t>
        </is>
      </c>
      <c r="G10" t="inlineStr">
        <is>
          <t>O</t>
        </is>
      </c>
      <c r="H10" t="inlineStr">
        <is>
          <t>1</t>
        </is>
      </c>
      <c r="I10" t="inlineStr">
        <is>
          <t>Patient.address_line2</t>
        </is>
      </c>
      <c r="J10" t="inlineStr">
        <is>
          <t>Patient.address.line</t>
        </is>
      </c>
      <c r="K10" t="inlineStr">
        <is>
          <t>CMT: 0% fill</t>
        </is>
      </c>
      <c r="L10" t="inlineStr">
        <is>
          <t>mapped</t>
        </is>
      </c>
      <c r="M10" t="inlineStr"/>
    </row>
    <row r="11">
      <c r="A11" t="inlineStr">
        <is>
          <t>ADT</t>
        </is>
      </c>
      <c r="B11" t="inlineStr">
        <is>
          <t>A08</t>
        </is>
      </c>
      <c r="C11" t="inlineStr">
        <is>
          <t>PID</t>
        </is>
      </c>
      <c r="D11" t="inlineStr">
        <is>
          <t>PID-11</t>
        </is>
      </c>
      <c r="E11" t="inlineStr">
        <is>
          <t>Patient Primary City</t>
        </is>
      </c>
      <c r="F11" t="inlineStr">
        <is>
          <t>XAD</t>
        </is>
      </c>
      <c r="G11" t="inlineStr">
        <is>
          <t>O</t>
        </is>
      </c>
      <c r="H11" t="inlineStr">
        <is>
          <t>1</t>
        </is>
      </c>
      <c r="I11" t="inlineStr">
        <is>
          <t>Patient.address_city</t>
        </is>
      </c>
      <c r="J11" t="inlineStr">
        <is>
          <t>Patient.address.city</t>
        </is>
      </c>
      <c r="K11" t="inlineStr">
        <is>
          <t>96.63% fill CMT</t>
        </is>
      </c>
      <c r="L11" t="inlineStr">
        <is>
          <t>mapped</t>
        </is>
      </c>
      <c r="M11" t="inlineStr"/>
    </row>
    <row r="12">
      <c r="A12" t="inlineStr">
        <is>
          <t>ADT</t>
        </is>
      </c>
      <c r="B12" t="inlineStr">
        <is>
          <t>A08</t>
        </is>
      </c>
      <c r="C12" t="inlineStr">
        <is>
          <t>PID</t>
        </is>
      </c>
      <c r="D12" t="inlineStr">
        <is>
          <t>PID-11</t>
        </is>
      </c>
      <c r="E12" t="inlineStr">
        <is>
          <t>Patient Primary State code</t>
        </is>
      </c>
      <c r="F12" t="inlineStr">
        <is>
          <t>XAD</t>
        </is>
      </c>
      <c r="G12" t="inlineStr">
        <is>
          <t>O</t>
        </is>
      </c>
      <c r="H12" t="inlineStr">
        <is>
          <t>1</t>
        </is>
      </c>
      <c r="I12" t="inlineStr">
        <is>
          <t>Patient.address_state</t>
        </is>
      </c>
      <c r="J12" t="inlineStr">
        <is>
          <t>Patient.address.state</t>
        </is>
      </c>
      <c r="K12" t="inlineStr">
        <is>
          <t>100% fill CMT</t>
        </is>
      </c>
      <c r="L12" t="inlineStr">
        <is>
          <t>mapped</t>
        </is>
      </c>
      <c r="M12" t="inlineStr"/>
    </row>
    <row r="13">
      <c r="A13" t="inlineStr">
        <is>
          <t>ADT</t>
        </is>
      </c>
      <c r="B13" t="inlineStr">
        <is>
          <t>A08</t>
        </is>
      </c>
      <c r="C13" t="inlineStr">
        <is>
          <t>PID</t>
        </is>
      </c>
      <c r="D13" t="inlineStr">
        <is>
          <t>PID-11</t>
        </is>
      </c>
      <c r="E13" t="inlineStr">
        <is>
          <t>Patient Primary Zip</t>
        </is>
      </c>
      <c r="F13" t="inlineStr">
        <is>
          <t>XAD</t>
        </is>
      </c>
      <c r="G13" t="inlineStr">
        <is>
          <t>O</t>
        </is>
      </c>
      <c r="H13" t="inlineStr">
        <is>
          <t>1</t>
        </is>
      </c>
      <c r="I13" t="inlineStr">
        <is>
          <t>Patient.address_zip</t>
        </is>
      </c>
      <c r="J13" t="inlineStr">
        <is>
          <t>Patient.address.postalCode</t>
        </is>
      </c>
      <c r="K13" t="inlineStr">
        <is>
          <t>95.78% fill CMT</t>
        </is>
      </c>
      <c r="L13" t="inlineStr">
        <is>
          <t>mapped</t>
        </is>
      </c>
      <c r="M13" t="inlineStr"/>
    </row>
    <row r="14">
      <c r="A14" t="inlineStr">
        <is>
          <t>ADT</t>
        </is>
      </c>
      <c r="B14" t="inlineStr">
        <is>
          <t>A08</t>
        </is>
      </c>
      <c r="C14" t="inlineStr">
        <is>
          <t>PID</t>
        </is>
      </c>
      <c r="D14" t="inlineStr">
        <is>
          <t>PID-11</t>
        </is>
      </c>
      <c r="E14" t="inlineStr">
        <is>
          <t>Patient Primary Country Code</t>
        </is>
      </c>
      <c r="F14" t="inlineStr">
        <is>
          <t>XAD</t>
        </is>
      </c>
      <c r="G14" t="inlineStr">
        <is>
          <t>O</t>
        </is>
      </c>
      <c r="H14" t="inlineStr">
        <is>
          <t>1</t>
        </is>
      </c>
      <c r="I14" t="inlineStr">
        <is>
          <t>Patient.address_country</t>
        </is>
      </c>
      <c r="J14" t="inlineStr">
        <is>
          <t>Patient.address.country</t>
        </is>
      </c>
      <c r="K14" t="inlineStr">
        <is>
          <t>CMT: 0% fill; default USA per SYN</t>
        </is>
      </c>
      <c r="L14" t="inlineStr">
        <is>
          <t>mapped</t>
        </is>
      </c>
      <c r="M14" t="inlineStr"/>
    </row>
    <row r="15">
      <c r="A15" t="inlineStr">
        <is>
          <t>ADT</t>
        </is>
      </c>
      <c r="B15" t="inlineStr">
        <is>
          <t>A08</t>
        </is>
      </c>
      <c r="C15" t="inlineStr">
        <is>
          <t>PID</t>
        </is>
      </c>
      <c r="D15" t="inlineStr">
        <is>
          <t>PID-11</t>
        </is>
      </c>
      <c r="E15" t="inlineStr">
        <is>
          <t>Patient Primary County code</t>
        </is>
      </c>
      <c r="F15" t="inlineStr">
        <is>
          <t>XAD</t>
        </is>
      </c>
      <c r="G15" t="inlineStr">
        <is>
          <t>O</t>
        </is>
      </c>
      <c r="H15" t="inlineStr">
        <is>
          <t>1</t>
        </is>
      </c>
      <c r="I15" t="inlineStr">
        <is>
          <t>Patient.address</t>
        </is>
      </c>
      <c r="J15" t="inlineStr">
        <is>
          <t>Patient.address.district</t>
        </is>
      </c>
      <c r="K15" t="inlineStr">
        <is>
          <t>CMT: 0% fill</t>
        </is>
      </c>
      <c r="L15" t="inlineStr">
        <is>
          <t>mapped</t>
        </is>
      </c>
      <c r="M15" t="inlineStr"/>
    </row>
    <row r="16">
      <c r="A16" t="inlineStr">
        <is>
          <t>ADT</t>
        </is>
      </c>
      <c r="B16" t="inlineStr">
        <is>
          <t>A08</t>
        </is>
      </c>
      <c r="C16" t="inlineStr">
        <is>
          <t>PID</t>
        </is>
      </c>
      <c r="D16" t="inlineStr">
        <is>
          <t>PID-13</t>
        </is>
      </c>
      <c r="E16" t="inlineStr">
        <is>
          <t>Patient Primary Telephone</t>
        </is>
      </c>
      <c r="F16" t="inlineStr">
        <is>
          <t>XTN</t>
        </is>
      </c>
      <c r="G16" t="inlineStr">
        <is>
          <t>O</t>
        </is>
      </c>
      <c r="H16" t="inlineStr">
        <is>
          <t>1</t>
        </is>
      </c>
      <c r="I16" t="inlineStr">
        <is>
          <t>Patient.phone</t>
        </is>
      </c>
      <c r="J16" t="inlineStr">
        <is>
          <t>Patient.telecom (system=phone)</t>
        </is>
      </c>
      <c r="K16" t="inlineStr">
        <is>
          <t>Ingest as received; 7/9-digit values observed</t>
        </is>
      </c>
      <c r="L16" t="inlineStr">
        <is>
          <t>mapped</t>
        </is>
      </c>
      <c r="M16" t="inlineStr"/>
    </row>
    <row r="17">
      <c r="A17" t="inlineStr">
        <is>
          <t>ADT</t>
        </is>
      </c>
      <c r="B17" t="inlineStr">
        <is>
          <t>A08</t>
        </is>
      </c>
      <c r="C17" t="inlineStr">
        <is>
          <t>PID</t>
        </is>
      </c>
      <c r="D17" t="inlineStr">
        <is>
          <t>PID-13</t>
        </is>
      </c>
      <c r="E17" t="inlineStr">
        <is>
          <t>Patient Primary Email</t>
        </is>
      </c>
      <c r="F17" t="inlineStr">
        <is>
          <t>XTN</t>
        </is>
      </c>
      <c r="G17" t="inlineStr">
        <is>
          <t>O</t>
        </is>
      </c>
      <c r="H17" t="inlineStr">
        <is>
          <t>1</t>
        </is>
      </c>
      <c r="I17" t="inlineStr">
        <is>
          <t>Patient.email</t>
        </is>
      </c>
      <c r="J17" t="inlineStr">
        <is>
          <t>Patient.telecom (system=email)</t>
        </is>
      </c>
      <c r="K17" t="inlineStr">
        <is>
          <t>CMT: 0% fill</t>
        </is>
      </c>
      <c r="L17" t="inlineStr">
        <is>
          <t>mapped</t>
        </is>
      </c>
      <c r="M17" t="inlineStr"/>
    </row>
    <row r="18">
      <c r="A18" t="inlineStr">
        <is>
          <t>ADT</t>
        </is>
      </c>
      <c r="B18" t="inlineStr">
        <is>
          <t>A08</t>
        </is>
      </c>
      <c r="C18" t="inlineStr">
        <is>
          <t>PID</t>
        </is>
      </c>
      <c r="D18" t="inlineStr">
        <is>
          <t>PID-15</t>
        </is>
      </c>
      <c r="E18" t="inlineStr">
        <is>
          <t>Patient primary language Code</t>
        </is>
      </c>
      <c r="F18" t="inlineStr">
        <is>
          <t>CE</t>
        </is>
      </c>
      <c r="G18" t="inlineStr">
        <is>
          <t>O</t>
        </is>
      </c>
      <c r="H18" t="inlineStr">
        <is>
          <t>1</t>
        </is>
      </c>
      <c r="I18" t="inlineStr">
        <is>
          <t>Patient.language</t>
        </is>
      </c>
      <c r="J18" t="inlineStr">
        <is>
          <t>Patient.communication.language</t>
        </is>
      </c>
      <c r="K18" t="inlineStr">
        <is>
          <t>CMT: 0% fill</t>
        </is>
      </c>
      <c r="L18" t="inlineStr">
        <is>
          <t>mapped</t>
        </is>
      </c>
      <c r="M18" t="inlineStr"/>
    </row>
    <row r="19">
      <c r="A19" t="inlineStr">
        <is>
          <t>ADT</t>
        </is>
      </c>
      <c r="B19" t="inlineStr">
        <is>
          <t>A08</t>
        </is>
      </c>
      <c r="C19" t="inlineStr">
        <is>
          <t>PID</t>
        </is>
      </c>
      <c r="D19" t="inlineStr">
        <is>
          <t>PID-17</t>
        </is>
      </c>
      <c r="E19" t="inlineStr">
        <is>
          <t>Patient Religion</t>
        </is>
      </c>
      <c r="F19" t="inlineStr">
        <is>
          <t>CE</t>
        </is>
      </c>
      <c r="G19" t="inlineStr">
        <is>
          <t>O</t>
        </is>
      </c>
      <c r="H19" t="inlineStr">
        <is>
          <t>1</t>
        </is>
      </c>
      <c r="I19" t="inlineStr">
        <is>
          <t>Patient.religion</t>
        </is>
      </c>
      <c r="J19" t="inlineStr">
        <is>
          <t>Patient.extension(patient-religion)</t>
        </is>
      </c>
      <c r="K19" t="inlineStr">
        <is>
          <t>CMT: 0% fill</t>
        </is>
      </c>
      <c r="L19" t="inlineStr">
        <is>
          <t>mapped</t>
        </is>
      </c>
      <c r="M19" t="inlineStr"/>
    </row>
    <row r="20">
      <c r="A20" t="inlineStr">
        <is>
          <t>ADT</t>
        </is>
      </c>
      <c r="B20" t="inlineStr">
        <is>
          <t>A08</t>
        </is>
      </c>
      <c r="C20" t="inlineStr">
        <is>
          <t>PID</t>
        </is>
      </c>
      <c r="D20" t="inlineStr">
        <is>
          <t>PID-19</t>
        </is>
      </c>
      <c r="E20" t="inlineStr">
        <is>
          <t>Patient SSN</t>
        </is>
      </c>
      <c r="F20" t="inlineStr">
        <is>
          <t>ST</t>
        </is>
      </c>
      <c r="G20" t="inlineStr">
        <is>
          <t>O</t>
        </is>
      </c>
      <c r="H20" t="inlineStr">
        <is>
          <t>1</t>
        </is>
      </c>
      <c r="I20" t="inlineStr">
        <is>
          <t>Patient.ssn</t>
        </is>
      </c>
      <c r="J20" t="inlineStr">
        <is>
          <t>Patient.identifier (system=SSN)</t>
        </is>
      </c>
      <c r="K20" t="inlineStr">
        <is>
          <t>CMT: 0% fill</t>
        </is>
      </c>
      <c r="L20" t="inlineStr">
        <is>
          <t>mapped</t>
        </is>
      </c>
      <c r="M20" t="inlineStr"/>
    </row>
    <row r="21">
      <c r="A21" t="inlineStr">
        <is>
          <t>ADT</t>
        </is>
      </c>
      <c r="B21" t="inlineStr">
        <is>
          <t>A08</t>
        </is>
      </c>
      <c r="C21" t="inlineStr">
        <is>
          <t>PID</t>
        </is>
      </c>
      <c r="D21" t="inlineStr">
        <is>
          <t>PID-29</t>
        </is>
      </c>
      <c r="E21" t="inlineStr">
        <is>
          <t>Patient Date of Death</t>
        </is>
      </c>
      <c r="F21" t="inlineStr">
        <is>
          <t>TS</t>
        </is>
      </c>
      <c r="G21" t="inlineStr">
        <is>
          <t>R</t>
        </is>
      </c>
      <c r="H21" t="inlineStr">
        <is>
          <t>1</t>
        </is>
      </c>
      <c r="I21" t="inlineStr">
        <is>
          <t>Patient.death_date</t>
        </is>
      </c>
      <c r="J21" t="inlineStr">
        <is>
          <t>Patient.deceased[x]</t>
        </is>
      </c>
      <c r="K21" t="inlineStr">
        <is>
          <t>CMT: 0% fill; critical for EMPI</t>
        </is>
      </c>
      <c r="L21" t="inlineStr">
        <is>
          <t>mapped</t>
        </is>
      </c>
      <c r="M21" t="inlineStr"/>
    </row>
    <row r="22">
      <c r="A22" t="inlineStr">
        <is>
          <t>ADT</t>
        </is>
      </c>
      <c r="B22" t="inlineStr">
        <is>
          <t>A08</t>
        </is>
      </c>
      <c r="C22" t="inlineStr">
        <is>
          <t>PID</t>
        </is>
      </c>
      <c r="D22" t="inlineStr">
        <is>
          <t>PID-30</t>
        </is>
      </c>
      <c r="E22" t="inlineStr">
        <is>
          <t>Patient Deceased Flag Code</t>
        </is>
      </c>
      <c r="F22" t="inlineStr">
        <is>
          <t>IS</t>
        </is>
      </c>
      <c r="G22" t="inlineStr">
        <is>
          <t>O</t>
        </is>
      </c>
      <c r="H22" t="inlineStr">
        <is>
          <t>1</t>
        </is>
      </c>
      <c r="I22" t="inlineStr">
        <is>
          <t>Patient.death_date</t>
        </is>
      </c>
      <c r="J22" t="inlineStr">
        <is>
          <t>Patient.deceased[x]</t>
        </is>
      </c>
      <c r="K22" t="inlineStr">
        <is>
          <t>Y/N; CMT: 0% fill</t>
        </is>
      </c>
      <c r="L22" t="inlineStr">
        <is>
          <t>mapped</t>
        </is>
      </c>
      <c r="M22" t="inlineStr"/>
    </row>
    <row r="23">
      <c r="A23" t="inlineStr">
        <is>
          <t>ADT</t>
        </is>
      </c>
      <c r="B23" t="inlineStr">
        <is>
          <t>A08</t>
        </is>
      </c>
      <c r="C23" t="inlineStr">
        <is>
          <t>PV1</t>
        </is>
      </c>
      <c r="D23" t="inlineStr">
        <is>
          <t>PV1-2</t>
        </is>
      </c>
      <c r="E23" t="inlineStr">
        <is>
          <t>Encounter Type</t>
        </is>
      </c>
      <c r="F23" t="inlineStr">
        <is>
          <t>IS</t>
        </is>
      </c>
      <c r="G23" t="inlineStr">
        <is>
          <t>R</t>
        </is>
      </c>
      <c r="H23" t="inlineStr">
        <is>
          <t>1</t>
        </is>
      </c>
      <c r="I23" t="inlineStr">
        <is>
          <t>Encounter.class</t>
        </is>
      </c>
      <c r="J23" t="inlineStr">
        <is>
          <t>Encounter.class</t>
        </is>
      </c>
      <c r="K23" t="inlineStr">
        <is>
          <t>E/I/O/V; CMT: 99.99% fill</t>
        </is>
      </c>
      <c r="L23" t="inlineStr">
        <is>
          <t>mapped</t>
        </is>
      </c>
      <c r="M23" t="inlineStr"/>
    </row>
    <row r="24">
      <c r="A24" t="inlineStr">
        <is>
          <t>ADT</t>
        </is>
      </c>
      <c r="B24" t="inlineStr">
        <is>
          <t>A08</t>
        </is>
      </c>
      <c r="C24" t="inlineStr">
        <is>
          <t>PV1</t>
        </is>
      </c>
      <c r="D24" t="inlineStr">
        <is>
          <t>PV1-4</t>
        </is>
      </c>
      <c r="E24" t="inlineStr">
        <is>
          <t>Facility Name</t>
        </is>
      </c>
      <c r="F24" t="inlineStr">
        <is>
          <t>XON</t>
        </is>
      </c>
      <c r="G24" t="inlineStr">
        <is>
          <t>R</t>
        </is>
      </c>
      <c r="H24" t="inlineStr">
        <is>
          <t>1</t>
        </is>
      </c>
      <c r="I24" t="inlineStr">
        <is>
          <t>Encounter.serviceProvider</t>
        </is>
      </c>
      <c r="J24" t="inlineStr">
        <is>
          <t>Encounter.serviceProvider</t>
        </is>
      </c>
      <c r="K24" t="inlineStr">
        <is>
          <t>Facility where service provided</t>
        </is>
      </c>
      <c r="L24" t="inlineStr">
        <is>
          <t>mapped</t>
        </is>
      </c>
      <c r="M24" t="inlineStr"/>
    </row>
    <row r="25">
      <c r="A25" t="inlineStr">
        <is>
          <t>ADT</t>
        </is>
      </c>
      <c r="B25" t="inlineStr">
        <is>
          <t>A08</t>
        </is>
      </c>
      <c r="C25" t="inlineStr">
        <is>
          <t>PV1</t>
        </is>
      </c>
      <c r="D25" t="inlineStr">
        <is>
          <t>PV1-19</t>
        </is>
      </c>
      <c r="E25" t="inlineStr">
        <is>
          <t>Encounter ID</t>
        </is>
      </c>
      <c r="F25" t="inlineStr">
        <is>
          <t>CX</t>
        </is>
      </c>
      <c r="G25" t="inlineStr">
        <is>
          <t>R</t>
        </is>
      </c>
      <c r="H25" t="inlineStr">
        <is>
          <t>1</t>
        </is>
      </c>
      <c r="I25" t="inlineStr">
        <is>
          <t>Encounter.identifier</t>
        </is>
      </c>
      <c r="J25" t="inlineStr">
        <is>
          <t>Encounter.identifier</t>
        </is>
      </c>
      <c r="K25" t="inlineStr">
        <is>
          <t>EMR encounter ID; CMT: 99.99% fill</t>
        </is>
      </c>
      <c r="L25" t="inlineStr">
        <is>
          <t>mapped</t>
        </is>
      </c>
      <c r="M25" t="inlineStr"/>
    </row>
    <row r="26">
      <c r="A26" t="inlineStr">
        <is>
          <t>ADT</t>
        </is>
      </c>
      <c r="B26" t="inlineStr">
        <is>
          <t>A08</t>
        </is>
      </c>
      <c r="C26" t="inlineStr">
        <is>
          <t>PV1</t>
        </is>
      </c>
      <c r="D26" t="inlineStr">
        <is>
          <t>PV1-44</t>
        </is>
      </c>
      <c r="E26" t="inlineStr">
        <is>
          <t>Encounter Start Date</t>
        </is>
      </c>
      <c r="F26" t="inlineStr">
        <is>
          <t>TS</t>
        </is>
      </c>
      <c r="G26" t="inlineStr">
        <is>
          <t>R</t>
        </is>
      </c>
      <c r="H26" t="inlineStr">
        <is>
          <t>1</t>
        </is>
      </c>
      <c r="I26" t="inlineStr">
        <is>
          <t>Encounter.period.start</t>
        </is>
      </c>
      <c r="J26" t="inlineStr">
        <is>
          <t>Encounter.period.start</t>
        </is>
      </c>
      <c r="K26" t="inlineStr">
        <is>
          <t>CMT: 99.99% fill</t>
        </is>
      </c>
      <c r="L26" t="inlineStr">
        <is>
          <t>mapped</t>
        </is>
      </c>
      <c r="M26" t="inlineStr"/>
    </row>
    <row r="27">
      <c r="A27" t="inlineStr">
        <is>
          <t>ADT</t>
        </is>
      </c>
      <c r="B27" t="inlineStr">
        <is>
          <t>A08</t>
        </is>
      </c>
      <c r="C27" t="inlineStr">
        <is>
          <t>PV1</t>
        </is>
      </c>
      <c r="D27" t="inlineStr">
        <is>
          <t>PV1-45</t>
        </is>
      </c>
      <c r="E27" t="inlineStr">
        <is>
          <t>Encounter End Date</t>
        </is>
      </c>
      <c r="F27" t="inlineStr">
        <is>
          <t>TS</t>
        </is>
      </c>
      <c r="G27" t="inlineStr">
        <is>
          <t>R</t>
        </is>
      </c>
      <c r="H27" t="inlineStr">
        <is>
          <t>1</t>
        </is>
      </c>
      <c r="I27" t="inlineStr">
        <is>
          <t>Encounter.period.end</t>
        </is>
      </c>
      <c r="J27" t="inlineStr">
        <is>
          <t>Encounter.period.end</t>
        </is>
      </c>
      <c r="K27" t="inlineStr">
        <is>
          <t>CMT: 22.85% fill (ongoing encounters)</t>
        </is>
      </c>
      <c r="L27" t="inlineStr">
        <is>
          <t>mapped</t>
        </is>
      </c>
      <c r="M27" t="inlineStr"/>
    </row>
    <row r="28">
      <c r="A28" t="inlineStr">
        <is>
          <t>ADT</t>
        </is>
      </c>
      <c r="B28" t="inlineStr">
        <is>
          <t>A08</t>
        </is>
      </c>
      <c r="C28" t="inlineStr">
        <is>
          <t>PV1</t>
        </is>
      </c>
      <c r="D28" t="inlineStr">
        <is>
          <t>PV1-36</t>
        </is>
      </c>
      <c r="E28" t="inlineStr">
        <is>
          <t>Discharge Disposition Code</t>
        </is>
      </c>
      <c r="F28" t="inlineStr">
        <is>
          <t>CE</t>
        </is>
      </c>
      <c r="G28" t="inlineStr">
        <is>
          <t>R</t>
        </is>
      </c>
      <c r="H28" t="inlineStr">
        <is>
          <t>1</t>
        </is>
      </c>
      <c r="I28" t="inlineStr">
        <is>
          <t>Encounter.hospitalization.dischargeDisposition</t>
        </is>
      </c>
      <c r="J28" t="inlineStr">
        <is>
          <t>Encounter.hospitalization.dischargeDisposition</t>
        </is>
      </c>
      <c r="K28" t="inlineStr">
        <is>
          <t>Ingest as received per SYN; CMT: 18.63% fill</t>
        </is>
      </c>
      <c r="L28" t="inlineStr">
        <is>
          <t>mapped</t>
        </is>
      </c>
      <c r="M28" t="inlineStr"/>
    </row>
    <row r="29">
      <c r="A29" t="inlineStr">
        <is>
          <t>ADT</t>
        </is>
      </c>
      <c r="B29" t="inlineStr">
        <is>
          <t>A08</t>
        </is>
      </c>
      <c r="C29" t="inlineStr">
        <is>
          <t>PV2</t>
        </is>
      </c>
      <c r="D29" t="inlineStr">
        <is>
          <t>PV2-3</t>
        </is>
      </c>
      <c r="E29" t="inlineStr">
        <is>
          <t>Encounter Reason</t>
        </is>
      </c>
      <c r="F29" t="inlineStr">
        <is>
          <t>CE</t>
        </is>
      </c>
      <c r="G29" t="inlineStr">
        <is>
          <t>O</t>
        </is>
      </c>
      <c r="H29" t="inlineStr">
        <is>
          <t>1</t>
        </is>
      </c>
      <c r="I29" t="inlineStr">
        <is>
          <t>Encounter.reasonCode</t>
        </is>
      </c>
      <c r="J29" t="inlineStr">
        <is>
          <t>Encounter.reasonCode</t>
        </is>
      </c>
      <c r="K29" t="inlineStr">
        <is>
          <t>Chief complaint; CMT: 8.4% fill</t>
        </is>
      </c>
      <c r="L29" t="inlineStr">
        <is>
          <t>mapped</t>
        </is>
      </c>
      <c r="M29" t="inlineStr"/>
    </row>
    <row r="30">
      <c r="A30" t="inlineStr">
        <is>
          <t>ADT</t>
        </is>
      </c>
      <c r="B30" t="inlineStr">
        <is>
          <t>A08</t>
        </is>
      </c>
      <c r="C30" t="inlineStr">
        <is>
          <t>PV1</t>
        </is>
      </c>
      <c r="D30" t="inlineStr">
        <is>
          <t>PV1-3</t>
        </is>
      </c>
      <c r="E30" t="inlineStr">
        <is>
          <t>Point of Care</t>
        </is>
      </c>
      <c r="F30" t="inlineStr">
        <is>
          <t>IS</t>
        </is>
      </c>
      <c r="G30" t="inlineStr">
        <is>
          <t>O</t>
        </is>
      </c>
      <c r="H30" t="inlineStr">
        <is>
          <t>1</t>
        </is>
      </c>
      <c r="I30" t="inlineStr">
        <is>
          <t>Encounter.location</t>
        </is>
      </c>
      <c r="J30" t="inlineStr">
        <is>
          <t>Encounter.location</t>
        </is>
      </c>
      <c r="K30" t="inlineStr">
        <is>
          <t>CMT: 99.67% fill</t>
        </is>
      </c>
      <c r="L30" t="inlineStr">
        <is>
          <t>mapped</t>
        </is>
      </c>
      <c r="M30" t="inlineStr"/>
    </row>
    <row r="31">
      <c r="A31" t="inlineStr">
        <is>
          <t>ADT</t>
        </is>
      </c>
      <c r="B31" t="inlineStr">
        <is>
          <t>A08</t>
        </is>
      </c>
      <c r="C31" t="inlineStr">
        <is>
          <t>PV1</t>
        </is>
      </c>
      <c r="D31" t="inlineStr">
        <is>
          <t>PV1-3</t>
        </is>
      </c>
      <c r="E31" t="inlineStr">
        <is>
          <t>Room</t>
        </is>
      </c>
      <c r="F31" t="inlineStr">
        <is>
          <t>IS</t>
        </is>
      </c>
      <c r="G31" t="inlineStr">
        <is>
          <t>O</t>
        </is>
      </c>
      <c r="H31" t="inlineStr">
        <is>
          <t>1</t>
        </is>
      </c>
      <c r="I31" t="inlineStr">
        <is>
          <t>Encounter.location</t>
        </is>
      </c>
      <c r="J31" t="inlineStr">
        <is>
          <t>Encounter.location</t>
        </is>
      </c>
      <c r="K31" t="inlineStr">
        <is>
          <t>CMT: 81.61% fill</t>
        </is>
      </c>
      <c r="L31" t="inlineStr">
        <is>
          <t>mapped</t>
        </is>
      </c>
      <c r="M31" t="inlineStr"/>
    </row>
    <row r="32">
      <c r="A32" t="inlineStr">
        <is>
          <t>ADT</t>
        </is>
      </c>
      <c r="B32" t="inlineStr">
        <is>
          <t>A08</t>
        </is>
      </c>
      <c r="C32" t="inlineStr">
        <is>
          <t>PV1</t>
        </is>
      </c>
      <c r="D32" t="inlineStr">
        <is>
          <t>PV1-3</t>
        </is>
      </c>
      <c r="E32" t="inlineStr">
        <is>
          <t>Bed</t>
        </is>
      </c>
      <c r="F32" t="inlineStr">
        <is>
          <t>IS</t>
        </is>
      </c>
      <c r="G32" t="inlineStr">
        <is>
          <t>O</t>
        </is>
      </c>
      <c r="H32" t="inlineStr">
        <is>
          <t>1</t>
        </is>
      </c>
      <c r="I32" t="inlineStr">
        <is>
          <t>Encounter.location</t>
        </is>
      </c>
      <c r="J32" t="inlineStr">
        <is>
          <t>Encounter.location</t>
        </is>
      </c>
      <c r="K32" t="inlineStr">
        <is>
          <t>CMT: 81.42% fill</t>
        </is>
      </c>
      <c r="L32" t="inlineStr">
        <is>
          <t>mapped</t>
        </is>
      </c>
      <c r="M32" t="inlineStr"/>
    </row>
    <row r="33">
      <c r="A33" t="inlineStr">
        <is>
          <t>ADT</t>
        </is>
      </c>
      <c r="B33" t="inlineStr">
        <is>
          <t>A08</t>
        </is>
      </c>
      <c r="C33" t="inlineStr">
        <is>
          <t>PV1</t>
        </is>
      </c>
      <c r="D33" t="inlineStr">
        <is>
          <t>PV1-3</t>
        </is>
      </c>
      <c r="E33" t="inlineStr">
        <is>
          <t>Facility ID</t>
        </is>
      </c>
      <c r="F33" t="inlineStr">
        <is>
          <t>HD</t>
        </is>
      </c>
      <c r="G33" t="inlineStr">
        <is>
          <t>O</t>
        </is>
      </c>
      <c r="H33" t="inlineStr">
        <is>
          <t>1</t>
        </is>
      </c>
      <c r="I33" t="inlineStr">
        <is>
          <t>Encounter.serviceProvider</t>
        </is>
      </c>
      <c r="J33" t="inlineStr">
        <is>
          <t>Encounter.serviceProvider</t>
        </is>
      </c>
      <c r="K33" t="inlineStr">
        <is>
          <t>Facility ID; CMT: 98.73% fill</t>
        </is>
      </c>
      <c r="L33" t="inlineStr">
        <is>
          <t>mapped</t>
        </is>
      </c>
      <c r="M33" t="inlineStr"/>
    </row>
    <row r="34">
      <c r="A34" t="inlineStr">
        <is>
          <t>ADT</t>
        </is>
      </c>
      <c r="B34" t="inlineStr">
        <is>
          <t>A08</t>
        </is>
      </c>
      <c r="C34" t="inlineStr">
        <is>
          <t>PV1</t>
        </is>
      </c>
      <c r="D34" t="inlineStr">
        <is>
          <t>PV1-10</t>
        </is>
      </c>
      <c r="E34" t="inlineStr">
        <is>
          <t>Service Type Code</t>
        </is>
      </c>
      <c r="F34" t="inlineStr">
        <is>
          <t>CE</t>
        </is>
      </c>
      <c r="G34" t="inlineStr">
        <is>
          <t>R</t>
        </is>
      </c>
      <c r="H34" t="inlineStr">
        <is>
          <t>1</t>
        </is>
      </c>
      <c r="I34" t="inlineStr">
        <is>
          <t>Encounter.serviceType</t>
        </is>
      </c>
      <c r="J34" t="inlineStr">
        <is>
          <t>Encounter.serviceType</t>
        </is>
      </c>
      <c r="K34" t="inlineStr">
        <is>
          <t>CMT: 99.99% fill</t>
        </is>
      </c>
      <c r="L34" t="inlineStr">
        <is>
          <t>mapped</t>
        </is>
      </c>
      <c r="M34" t="inlineStr"/>
    </row>
    <row r="35">
      <c r="A35" t="inlineStr">
        <is>
          <t>ADT</t>
        </is>
      </c>
      <c r="B35" t="inlineStr">
        <is>
          <t>A08</t>
        </is>
      </c>
      <c r="C35" t="inlineStr">
        <is>
          <t>PD1</t>
        </is>
      </c>
      <c r="D35" t="inlineStr">
        <is>
          <t>PD1-4</t>
        </is>
      </c>
      <c r="E35" t="inlineStr">
        <is>
          <t>PCP Id</t>
        </is>
      </c>
      <c r="F35" t="inlineStr">
        <is>
          <t>XCN</t>
        </is>
      </c>
      <c r="G35" t="inlineStr">
        <is>
          <t>R</t>
        </is>
      </c>
      <c r="H35" t="inlineStr">
        <is>
          <t>1</t>
        </is>
      </c>
      <c r="I35" t="inlineStr">
        <is>
          <t>Encounter.participant</t>
        </is>
      </c>
      <c r="J35" t="inlineStr">
        <is>
          <t>Encounter.participant.actor</t>
        </is>
      </c>
      <c r="K35" t="inlineStr">
        <is>
          <t>CMT: 0% fill</t>
        </is>
      </c>
      <c r="L35" t="inlineStr">
        <is>
          <t>mapped</t>
        </is>
      </c>
      <c r="M35" t="inlineStr"/>
    </row>
    <row r="36">
      <c r="A36" t="inlineStr">
        <is>
          <t>ADT</t>
        </is>
      </c>
      <c r="B36" t="inlineStr">
        <is>
          <t>A08</t>
        </is>
      </c>
      <c r="C36" t="inlineStr">
        <is>
          <t>PD1</t>
        </is>
      </c>
      <c r="D36" t="inlineStr">
        <is>
          <t>PD1-4</t>
        </is>
      </c>
      <c r="E36" t="inlineStr">
        <is>
          <t>PCP Last Name</t>
        </is>
      </c>
      <c r="F36" t="inlineStr">
        <is>
          <t>XCN</t>
        </is>
      </c>
      <c r="G36" t="inlineStr">
        <is>
          <t>R</t>
        </is>
      </c>
      <c r="H36" t="inlineStr">
        <is>
          <t>1</t>
        </is>
      </c>
      <c r="I36" t="inlineStr">
        <is>
          <t>Encounter.participant</t>
        </is>
      </c>
      <c r="J36" t="inlineStr">
        <is>
          <t>Encounter.participant.actor</t>
        </is>
      </c>
      <c r="K36" t="inlineStr">
        <is>
          <t>CMT: 0% fill</t>
        </is>
      </c>
      <c r="L36" t="inlineStr">
        <is>
          <t>mapped</t>
        </is>
      </c>
      <c r="M36" t="inlineStr"/>
    </row>
    <row r="37">
      <c r="A37" t="inlineStr">
        <is>
          <t>ADT</t>
        </is>
      </c>
      <c r="B37" t="inlineStr">
        <is>
          <t>A08</t>
        </is>
      </c>
      <c r="C37" t="inlineStr">
        <is>
          <t>PD1</t>
        </is>
      </c>
      <c r="D37" t="inlineStr">
        <is>
          <t>PD1-4</t>
        </is>
      </c>
      <c r="E37" t="inlineStr">
        <is>
          <t>PCP First Name</t>
        </is>
      </c>
      <c r="F37" t="inlineStr">
        <is>
          <t>XCN</t>
        </is>
      </c>
      <c r="G37" t="inlineStr">
        <is>
          <t>R</t>
        </is>
      </c>
      <c r="H37" t="inlineStr">
        <is>
          <t>1</t>
        </is>
      </c>
      <c r="I37" t="inlineStr">
        <is>
          <t>Encounter.participant</t>
        </is>
      </c>
      <c r="J37" t="inlineStr">
        <is>
          <t>Encounter.participant.actor</t>
        </is>
      </c>
      <c r="K37" t="inlineStr">
        <is>
          <t>CMT: 0% fill</t>
        </is>
      </c>
      <c r="L37" t="inlineStr">
        <is>
          <t>mapped</t>
        </is>
      </c>
      <c r="M37" t="inlineStr"/>
    </row>
    <row r="38">
      <c r="A38" t="inlineStr">
        <is>
          <t>ADT</t>
        </is>
      </c>
      <c r="B38" t="inlineStr">
        <is>
          <t>A08</t>
        </is>
      </c>
      <c r="C38" t="inlineStr">
        <is>
          <t>IN1</t>
        </is>
      </c>
      <c r="D38" t="inlineStr">
        <is>
          <t>IN1-36</t>
        </is>
      </c>
      <c r="E38" t="inlineStr">
        <is>
          <t>Insurance Plan ID</t>
        </is>
      </c>
      <c r="F38" t="inlineStr">
        <is>
          <t>ST</t>
        </is>
      </c>
      <c r="G38" t="inlineStr">
        <is>
          <t>R</t>
        </is>
      </c>
      <c r="H38" t="inlineStr">
        <is>
          <t>1</t>
        </is>
      </c>
      <c r="I38" t="inlineStr">
        <is>
          <t>Coverage.identifier</t>
        </is>
      </c>
      <c r="J38" t="inlineStr">
        <is>
          <t>Coverage.identifier</t>
        </is>
      </c>
      <c r="K38" t="inlineStr">
        <is>
          <t>CMT: 99.26% fill</t>
        </is>
      </c>
      <c r="L38" t="inlineStr">
        <is>
          <t>mapped</t>
        </is>
      </c>
      <c r="M38" t="inlineStr"/>
    </row>
    <row r="39">
      <c r="A39" t="inlineStr">
        <is>
          <t>ADT</t>
        </is>
      </c>
      <c r="B39" t="inlineStr">
        <is>
          <t>A08</t>
        </is>
      </c>
      <c r="C39" t="inlineStr">
        <is>
          <t>IN1</t>
        </is>
      </c>
      <c r="D39" t="inlineStr">
        <is>
          <t>IN1-4</t>
        </is>
      </c>
      <c r="E39" t="inlineStr">
        <is>
          <t>Payer Name</t>
        </is>
      </c>
      <c r="F39" t="inlineStr">
        <is>
          <t>XON</t>
        </is>
      </c>
      <c r="G39" t="inlineStr">
        <is>
          <t>O</t>
        </is>
      </c>
      <c r="H39" t="inlineStr">
        <is>
          <t>1</t>
        </is>
      </c>
      <c r="I39" t="inlineStr">
        <is>
          <t>Coverage.payor</t>
        </is>
      </c>
      <c r="J39" t="inlineStr">
        <is>
          <t>Coverage.payor</t>
        </is>
      </c>
      <c r="K39" t="inlineStr">
        <is>
          <t>CMT: 100% fill</t>
        </is>
      </c>
      <c r="L39" t="inlineStr">
        <is>
          <t>mapped</t>
        </is>
      </c>
      <c r="M39" t="inlineStr"/>
    </row>
    <row r="40">
      <c r="A40" t="inlineStr">
        <is>
          <t>ADT</t>
        </is>
      </c>
      <c r="B40" t="inlineStr">
        <is>
          <t>A08</t>
        </is>
      </c>
      <c r="C40" t="inlineStr">
        <is>
          <t>DG1</t>
        </is>
      </c>
      <c r="D40" t="inlineStr">
        <is>
          <t>DG1-2</t>
        </is>
      </c>
      <c r="E40" t="inlineStr">
        <is>
          <t>Primary Diagnosis Coding System</t>
        </is>
      </c>
      <c r="F40" t="inlineStr">
        <is>
          <t>CE</t>
        </is>
      </c>
      <c r="G40" t="inlineStr">
        <is>
          <t>R</t>
        </is>
      </c>
      <c r="H40" t="inlineStr">
        <is>
          <t>1</t>
        </is>
      </c>
      <c r="I40" t="inlineStr">
        <is>
          <t>Condition.code</t>
        </is>
      </c>
      <c r="J40" t="inlineStr">
        <is>
          <t>Condition.code</t>
        </is>
      </c>
      <c r="K40" t="inlineStr">
        <is>
          <t>CMT: 48.37% fill</t>
        </is>
      </c>
      <c r="L40" t="inlineStr">
        <is>
          <t>mapped</t>
        </is>
      </c>
      <c r="M40" t="inlineStr"/>
    </row>
    <row r="41">
      <c r="A41" t="inlineStr">
        <is>
          <t>ADT</t>
        </is>
      </c>
      <c r="B41" t="inlineStr">
        <is>
          <t>A08</t>
        </is>
      </c>
      <c r="C41" t="inlineStr">
        <is>
          <t>DG1</t>
        </is>
      </c>
      <c r="D41" t="inlineStr">
        <is>
          <t>DG1-3</t>
        </is>
      </c>
      <c r="E41" t="inlineStr">
        <is>
          <t>Primary Diagnosis (CE: DG1-3.1 code ^DG1-3.2 text)</t>
        </is>
      </c>
      <c r="F41" t="inlineStr">
        <is>
          <t>CE</t>
        </is>
      </c>
      <c r="G41" t="inlineStr">
        <is>
          <t>R</t>
        </is>
      </c>
      <c r="H41" t="inlineStr">
        <is>
          <t>1</t>
        </is>
      </c>
      <c r="I41" t="inlineStr">
        <is>
          <t>Condition.code</t>
        </is>
      </c>
      <c r="J41" t="inlineStr">
        <is>
          <t>Condition.code</t>
        </is>
      </c>
      <c r="K41" t="inlineStr">
        <is>
          <t>CMT: 48.4% fill; HL7 CE components DG1-3.1^DG1-3.2</t>
        </is>
      </c>
      <c r="L41" t="inlineStr">
        <is>
          <t>mapped</t>
        </is>
      </c>
      <c r="M41" t="inlineStr">
        <is>
          <t>DG1-3.1^DG1-3.2</t>
        </is>
      </c>
    </row>
    <row r="42">
      <c r="A42" t="inlineStr">
        <is>
          <t>ADT</t>
        </is>
      </c>
      <c r="B42" t="inlineStr">
        <is>
          <t>A08</t>
        </is>
      </c>
      <c r="C42" t="inlineStr">
        <is>
          <t>PID</t>
        </is>
      </c>
      <c r="D42" t="inlineStr">
        <is>
          <t>PID-22</t>
        </is>
      </c>
      <c r="E42" t="inlineStr">
        <is>
          <t>Patient Ethnicity (CE: PID-22.1 code ^PID-22.2 text)</t>
        </is>
      </c>
      <c r="F42" t="inlineStr">
        <is>
          <t>CE</t>
        </is>
      </c>
      <c r="G42" t="inlineStr">
        <is>
          <t>O</t>
        </is>
      </c>
      <c r="H42" t="inlineStr">
        <is>
          <t>1</t>
        </is>
      </c>
      <c r="I42" t="inlineStr">
        <is>
          <t>Patient.ethnicity</t>
        </is>
      </c>
      <c r="J42" t="inlineStr">
        <is>
          <t>Patient.extension(us-core-ethnicity)</t>
        </is>
      </c>
      <c r="K42" t="inlineStr">
        <is>
          <t>CMT: 0% fill; HL7 CE components PID-22.1^PID-22.2</t>
        </is>
      </c>
      <c r="L42" t="inlineStr">
        <is>
          <t>mapped</t>
        </is>
      </c>
      <c r="M42" t="inlineStr">
        <is>
          <t>PID-22.1^PID-22.2</t>
        </is>
      </c>
    </row>
    <row r="43">
      <c r="A43" t="inlineStr">
        <is>
          <t>ADT</t>
        </is>
      </c>
      <c r="B43" t="inlineStr">
        <is>
          <t>A08</t>
        </is>
      </c>
      <c r="C43" t="inlineStr">
        <is>
          <t>PID</t>
        </is>
      </c>
      <c r="D43" t="inlineStr">
        <is>
          <t>PID-16</t>
        </is>
      </c>
      <c r="E43" t="inlineStr">
        <is>
          <t>Patient Marital Status (CE: PID-16.1 code ^PID-16.2 text)</t>
        </is>
      </c>
      <c r="F43" t="inlineStr">
        <is>
          <t>CE</t>
        </is>
      </c>
      <c r="G43" t="inlineStr">
        <is>
          <t>O</t>
        </is>
      </c>
      <c r="H43" t="inlineStr">
        <is>
          <t>1</t>
        </is>
      </c>
      <c r="I43" t="inlineStr">
        <is>
          <t>Patient.marital_status</t>
        </is>
      </c>
      <c r="J43" t="inlineStr">
        <is>
          <t>Patient.maritalStatus</t>
        </is>
      </c>
      <c r="K43" t="inlineStr">
        <is>
          <t>CMT: 0% fill; HL7 CE components PID-16.1^PID-16.2</t>
        </is>
      </c>
      <c r="L43" t="inlineStr">
        <is>
          <t>mapped</t>
        </is>
      </c>
      <c r="M43" t="inlineStr">
        <is>
          <t>PID-16.1^PID-16.2</t>
        </is>
      </c>
    </row>
    <row r="44">
      <c r="A44" t="inlineStr">
        <is>
          <t>ADT</t>
        </is>
      </c>
      <c r="B44" t="inlineStr">
        <is>
          <t>A08</t>
        </is>
      </c>
      <c r="C44" t="inlineStr">
        <is>
          <t>PID</t>
        </is>
      </c>
      <c r="D44" t="inlineStr">
        <is>
          <t>PID-10</t>
        </is>
      </c>
      <c r="E44" t="inlineStr">
        <is>
          <t>Patient Race (CE: PID-10.1 code ^PID-10.2 text)</t>
        </is>
      </c>
      <c r="F44" t="inlineStr">
        <is>
          <t>CE</t>
        </is>
      </c>
      <c r="G44" t="inlineStr">
        <is>
          <t>O</t>
        </is>
      </c>
      <c r="H44" t="inlineStr">
        <is>
          <t>1</t>
        </is>
      </c>
      <c r="I44" t="inlineStr">
        <is>
          <t>Patient.race</t>
        </is>
      </c>
      <c r="J44" t="inlineStr">
        <is>
          <t>Patient.extension(us-core-race)</t>
        </is>
      </c>
      <c r="K44" t="inlineStr">
        <is>
          <t>CMT: 0% fill; HL7 CE components PID-10.1^PID-10.2</t>
        </is>
      </c>
      <c r="L44" t="inlineStr">
        <is>
          <t>mapped</t>
        </is>
      </c>
      <c r="M44" t="inlineStr">
        <is>
          <t>PID-10.1^PID-10.2</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38" customWidth="1" min="4" max="4"/>
    <col width="29" customWidth="1" min="5" max="5"/>
    <col width="38" customWidth="1" min="6" max="6"/>
    <col width="38" customWidth="1" min="7" max="7"/>
    <col width="16" customWidth="1" min="8" max="8"/>
  </cols>
  <sheetData>
    <row r="1">
      <c r="A1" s="4" t="inlineStr">
        <is>
          <t>message_format</t>
        </is>
      </c>
      <c r="B1" s="4" t="inlineStr">
        <is>
          <t>section_name</t>
        </is>
      </c>
      <c r="C1" s="4" t="inlineStr">
        <is>
          <t>entry_type</t>
        </is>
      </c>
      <c r="D1" s="4" t="inlineStr">
        <is>
          <t>xml_path</t>
        </is>
      </c>
      <c r="E1" s="4" t="inlineStr">
        <is>
          <t>semantic_id</t>
        </is>
      </c>
      <c r="F1" s="4" t="inlineStr">
        <is>
          <t>fhir_r4_path</t>
        </is>
      </c>
      <c r="G1" s="4" t="inlineStr">
        <is>
          <t>notes</t>
        </is>
      </c>
      <c r="H1" s="4" t="inlineStr">
        <is>
          <t>mapping_status</t>
        </is>
      </c>
    </row>
    <row r="2">
      <c r="A2" t="inlineStr">
        <is>
          <t>CCD</t>
        </is>
      </c>
      <c r="B2" t="inlineStr">
        <is>
          <t>Demographics</t>
        </is>
      </c>
      <c r="C2" t="inlineStr">
        <is>
          <t>Patient Name</t>
        </is>
      </c>
      <c r="D2" t="inlineStr">
        <is>
          <t>/ClinicalDocument/recordTarget/patientRole/patient/name</t>
        </is>
      </c>
      <c r="E2" t="inlineStr">
        <is>
          <t>Patient.name_last</t>
        </is>
      </c>
      <c r="F2" t="inlineStr">
        <is>
          <t>Patient.name.family</t>
        </is>
      </c>
      <c r="G2" t="inlineStr">
        <is>
          <t>CCD demographics name (family)</t>
        </is>
      </c>
      <c r="H2" t="inlineStr">
        <is>
          <t>mapped</t>
        </is>
      </c>
    </row>
    <row r="3">
      <c r="A3" t="inlineStr">
        <is>
          <t>CCD</t>
        </is>
      </c>
      <c r="B3" t="inlineStr">
        <is>
          <t>Demographics</t>
        </is>
      </c>
      <c r="C3" t="inlineStr">
        <is>
          <t>Date of Birth</t>
        </is>
      </c>
      <c r="D3" t="inlineStr">
        <is>
          <t>/ClinicalDocument/recordTarget/patientRole/patient/birthTime</t>
        </is>
      </c>
      <c r="E3" t="inlineStr">
        <is>
          <t>Patient.birth_date</t>
        </is>
      </c>
      <c r="F3" t="inlineStr">
        <is>
          <t>Patient.birthDate</t>
        </is>
      </c>
      <c r="G3" t="inlineStr">
        <is>
          <t>CCD birthTime</t>
        </is>
      </c>
      <c r="H3" t="inlineStr">
        <is>
          <t>mapped</t>
        </is>
      </c>
    </row>
    <row r="4">
      <c r="A4" t="inlineStr">
        <is>
          <t>CCD</t>
        </is>
      </c>
      <c r="B4" t="inlineStr">
        <is>
          <t>Participants</t>
        </is>
      </c>
      <c r="C4" t="inlineStr">
        <is>
          <t>First Name</t>
        </is>
      </c>
      <c r="D4" t="inlineStr">
        <is>
          <t>associatedEntity/associatedPerson/name/given/node()</t>
        </is>
      </c>
      <c r="E4" t="inlineStr">
        <is>
          <t>Patient.name_first</t>
        </is>
      </c>
      <c r="F4" t="inlineStr">
        <is>
          <t>Patient.name.given</t>
        </is>
      </c>
      <c r="G4" t="inlineStr">
        <is>
          <t>Contact/guarantor first name</t>
        </is>
      </c>
      <c r="H4" t="inlineStr">
        <is>
          <t>mapped</t>
        </is>
      </c>
    </row>
    <row r="5">
      <c r="A5" t="inlineStr">
        <is>
          <t>CCD</t>
        </is>
      </c>
      <c r="B5" t="inlineStr">
        <is>
          <t>Participants</t>
        </is>
      </c>
      <c r="C5" t="inlineStr">
        <is>
          <t>Last Name</t>
        </is>
      </c>
      <c r="D5" t="inlineStr">
        <is>
          <t>associatedEntity/associatedPerson/name/family/node()</t>
        </is>
      </c>
      <c r="E5" t="inlineStr">
        <is>
          <t>Patient.name_last</t>
        </is>
      </c>
      <c r="F5" t="inlineStr">
        <is>
          <t>Patient.name.family</t>
        </is>
      </c>
      <c r="G5" t="inlineStr">
        <is>
          <t>Contact/guarantor last name</t>
        </is>
      </c>
      <c r="H5" t="inlineStr">
        <is>
          <t>mapped</t>
        </is>
      </c>
    </row>
    <row r="6">
      <c r="A6" t="inlineStr">
        <is>
          <t>CCD</t>
        </is>
      </c>
      <c r="B6" t="inlineStr">
        <is>
          <t>Participants</t>
        </is>
      </c>
      <c r="C6" t="inlineStr">
        <is>
          <t>Address Line 1</t>
        </is>
      </c>
      <c r="D6" t="inlineStr">
        <is>
          <t>associatedEntity/addr/streetAddressLine[1]/node()</t>
        </is>
      </c>
      <c r="E6" t="inlineStr">
        <is>
          <t>Patient.address_line1</t>
        </is>
      </c>
      <c r="F6" t="inlineStr">
        <is>
          <t>Patient.address.line</t>
        </is>
      </c>
      <c r="G6" t="inlineStr">
        <is>
          <t>Contact address line 1</t>
        </is>
      </c>
      <c r="H6" t="inlineStr">
        <is>
          <t>mapped</t>
        </is>
      </c>
    </row>
    <row r="7">
      <c r="A7" t="inlineStr">
        <is>
          <t>CCD</t>
        </is>
      </c>
      <c r="B7" t="inlineStr">
        <is>
          <t>Participants</t>
        </is>
      </c>
      <c r="C7" t="inlineStr">
        <is>
          <t>Address Line 2</t>
        </is>
      </c>
      <c r="D7" t="inlineStr">
        <is>
          <t>associatedEntity/addr/streetAddressLine[2]/node()</t>
        </is>
      </c>
      <c r="E7" t="inlineStr">
        <is>
          <t>Patient.address_line2</t>
        </is>
      </c>
      <c r="F7" t="inlineStr">
        <is>
          <t>Patient.address.line</t>
        </is>
      </c>
      <c r="G7" t="inlineStr">
        <is>
          <t>Contact address line 2</t>
        </is>
      </c>
      <c r="H7" t="inlineStr">
        <is>
          <t>mapped</t>
        </is>
      </c>
    </row>
    <row r="8">
      <c r="A8" t="inlineStr">
        <is>
          <t>CCD</t>
        </is>
      </c>
      <c r="B8" t="inlineStr">
        <is>
          <t>Participants</t>
        </is>
      </c>
      <c r="C8" t="inlineStr">
        <is>
          <t>City</t>
        </is>
      </c>
      <c r="D8" t="inlineStr">
        <is>
          <t>associatedEntity/addr/city/node()</t>
        </is>
      </c>
      <c r="E8" t="inlineStr">
        <is>
          <t>Patient.address_city</t>
        </is>
      </c>
      <c r="F8" t="inlineStr">
        <is>
          <t>Patient.address.city</t>
        </is>
      </c>
      <c r="G8" t="inlineStr">
        <is>
          <t>Contact city</t>
        </is>
      </c>
      <c r="H8" t="inlineStr">
        <is>
          <t>mapped</t>
        </is>
      </c>
    </row>
    <row r="9">
      <c r="A9" t="inlineStr">
        <is>
          <t>CCD</t>
        </is>
      </c>
      <c r="B9" t="inlineStr">
        <is>
          <t>Participants</t>
        </is>
      </c>
      <c r="C9" t="inlineStr">
        <is>
          <t>State</t>
        </is>
      </c>
      <c r="D9" t="inlineStr">
        <is>
          <t>associatedEntity/addr/state/node()</t>
        </is>
      </c>
      <c r="E9" t="inlineStr">
        <is>
          <t>Patient.address_state</t>
        </is>
      </c>
      <c r="F9" t="inlineStr">
        <is>
          <t>Patient.address.state</t>
        </is>
      </c>
      <c r="G9" t="inlineStr">
        <is>
          <t>Contact state</t>
        </is>
      </c>
      <c r="H9" t="inlineStr">
        <is>
          <t>mapped</t>
        </is>
      </c>
    </row>
    <row r="10">
      <c r="A10" t="inlineStr">
        <is>
          <t>CCD</t>
        </is>
      </c>
      <c r="B10" t="inlineStr">
        <is>
          <t>Participants</t>
        </is>
      </c>
      <c r="C10" t="inlineStr">
        <is>
          <t>Zip</t>
        </is>
      </c>
      <c r="D10" t="inlineStr">
        <is>
          <t>associatedEntity/addr/postalCode/node()</t>
        </is>
      </c>
      <c r="E10" t="inlineStr">
        <is>
          <t>Patient.address_zip</t>
        </is>
      </c>
      <c r="F10" t="inlineStr">
        <is>
          <t>Patient.address.postalCode</t>
        </is>
      </c>
      <c r="G10" t="inlineStr">
        <is>
          <t>Contact zip</t>
        </is>
      </c>
      <c r="H10" t="inlineStr">
        <is>
          <t>mapped</t>
        </is>
      </c>
    </row>
    <row r="11">
      <c r="A11" t="inlineStr">
        <is>
          <t>CCD</t>
        </is>
      </c>
      <c r="B11" t="inlineStr">
        <is>
          <t>Participants</t>
        </is>
      </c>
      <c r="C11" t="inlineStr">
        <is>
          <t>Country</t>
        </is>
      </c>
      <c r="D11" t="inlineStr">
        <is>
          <t>associatedEntity/addr/country/node()</t>
        </is>
      </c>
      <c r="E11" t="inlineStr">
        <is>
          <t>Patient.address_country</t>
        </is>
      </c>
      <c r="F11" t="inlineStr">
        <is>
          <t>Patient.address.country</t>
        </is>
      </c>
      <c r="G11" t="inlineStr">
        <is>
          <t>Contact country</t>
        </is>
      </c>
      <c r="H11" t="inlineStr">
        <is>
          <t>mapped</t>
        </is>
      </c>
    </row>
    <row r="12">
      <c r="A12" t="inlineStr">
        <is>
          <t>CCD</t>
        </is>
      </c>
      <c r="B12" t="inlineStr">
        <is>
          <t>Participants</t>
        </is>
      </c>
      <c r="C12" t="inlineStr">
        <is>
          <t>Telephone</t>
        </is>
      </c>
      <c r="D12" t="inlineStr">
        <is>
          <t>associatedEntity/telecom/@value</t>
        </is>
      </c>
      <c r="E12" t="inlineStr">
        <is>
          <t>Patient.phone</t>
        </is>
      </c>
      <c r="F12" t="inlineStr">
        <is>
          <t>Patient.telecom (system=phone)</t>
        </is>
      </c>
      <c r="G12" t="inlineStr">
        <is>
          <t>Contact phone</t>
        </is>
      </c>
      <c r="H12" t="inlineStr">
        <is>
          <t>mapped</t>
        </is>
      </c>
    </row>
    <row r="13">
      <c r="A13" t="inlineStr">
        <is>
          <t>CCD</t>
        </is>
      </c>
      <c r="B13" t="inlineStr">
        <is>
          <t>DocumentationOf</t>
        </is>
      </c>
      <c r="C13" t="inlineStr">
        <is>
          <t>PCP Id</t>
        </is>
      </c>
      <c r="D13" t="inlineStr">
        <is>
          <t>documentationOf/serviceEvent/performer/assignedEntity/id/@extension</t>
        </is>
      </c>
      <c r="E13" t="inlineStr">
        <is>
          <t>Encounter.participant</t>
        </is>
      </c>
      <c r="F13" t="inlineStr">
        <is>
          <t>Encounter.participant.actor</t>
        </is>
      </c>
      <c r="G13" t="inlineStr">
        <is>
          <t>PCP / care team performer</t>
        </is>
      </c>
      <c r="H13" t="inlineStr">
        <is>
          <t>mapped</t>
        </is>
      </c>
    </row>
    <row r="14">
      <c r="A14" t="inlineStr">
        <is>
          <t>CCD</t>
        </is>
      </c>
      <c r="B14" t="inlineStr">
        <is>
          <t>DocumentationOf</t>
        </is>
      </c>
      <c r="C14" t="inlineStr">
        <is>
          <t>PCP Id Type</t>
        </is>
      </c>
      <c r="D14" t="inlineStr">
        <is>
          <t>serviceEvent/performer/assignedEntity</t>
        </is>
      </c>
      <c r="E14" t="inlineStr">
        <is>
          <t>Encounter.participant</t>
        </is>
      </c>
      <c r="F14" t="inlineStr">
        <is>
          <t>Encounter.participant.actor</t>
        </is>
      </c>
      <c r="G14" t="inlineStr">
        <is>
          <t>PCP id type</t>
        </is>
      </c>
      <c r="H14" t="inlineStr">
        <is>
          <t>mapped</t>
        </is>
      </c>
    </row>
    <row r="15">
      <c r="A15" t="inlineStr">
        <is>
          <t>CCD</t>
        </is>
      </c>
      <c r="B15" t="inlineStr">
        <is>
          <t>Encounters</t>
        </is>
      </c>
      <c r="C15" t="inlineStr">
        <is>
          <t>Encounter Start Date</t>
        </is>
      </c>
      <c r="D15" t="inlineStr">
        <is>
          <t>component/section/entry/encounter/effectiveTime</t>
        </is>
      </c>
      <c r="E15" t="inlineStr">
        <is>
          <t>Encounter.period.start</t>
        </is>
      </c>
      <c r="F15" t="inlineStr">
        <is>
          <t>Encounter.period.start</t>
        </is>
      </c>
      <c r="G15" t="inlineStr">
        <is>
          <t>Encounter effectiveTime</t>
        </is>
      </c>
      <c r="H15" t="inlineStr">
        <is>
          <t>mapped</t>
        </is>
      </c>
    </row>
    <row r="16">
      <c r="A16" t="inlineStr">
        <is>
          <t>CCD</t>
        </is>
      </c>
      <c r="B16" t="inlineStr">
        <is>
          <t>Encounters</t>
        </is>
      </c>
      <c r="C16" t="inlineStr">
        <is>
          <t>Encounter Type</t>
        </is>
      </c>
      <c r="D16" t="inlineStr">
        <is>
          <t>component/section/entry/encounter/code/@code</t>
        </is>
      </c>
      <c r="E16" t="inlineStr">
        <is>
          <t>Encounter.class</t>
        </is>
      </c>
      <c r="F16" t="inlineStr">
        <is>
          <t>Encounter.class</t>
        </is>
      </c>
      <c r="G16" t="inlineStr">
        <is>
          <t>Encounter type code</t>
        </is>
      </c>
      <c r="H16" t="inlineStr">
        <is>
          <t>mapped</t>
        </is>
      </c>
    </row>
    <row r="17">
      <c r="A17" t="inlineStr">
        <is>
          <t>CCD</t>
        </is>
      </c>
      <c r="B17" t="inlineStr">
        <is>
          <t>Encounters</t>
        </is>
      </c>
      <c r="C17" t="inlineStr">
        <is>
          <t>Encounter ID</t>
        </is>
      </c>
      <c r="D17" t="inlineStr">
        <is>
          <t>component/section/entry/encounter/id/@extension</t>
        </is>
      </c>
      <c r="E17" t="inlineStr">
        <is>
          <t>Encounter.identifier</t>
        </is>
      </c>
      <c r="F17" t="inlineStr">
        <is>
          <t>Encounter.identifier</t>
        </is>
      </c>
      <c r="G17" t="inlineStr">
        <is>
          <t>Encounter id</t>
        </is>
      </c>
      <c r="H17" t="inlineStr">
        <is>
          <t>mapped</t>
        </is>
      </c>
    </row>
    <row r="18">
      <c r="A18" t="inlineStr">
        <is>
          <t>CCD</t>
        </is>
      </c>
      <c r="B18" t="inlineStr">
        <is>
          <t>Encounters</t>
        </is>
      </c>
      <c r="C18" t="inlineStr">
        <is>
          <t>Encounter Reason</t>
        </is>
      </c>
      <c r="D18" t="inlineStr">
        <is>
          <t>component/section/entry/encounter/code/originalText/reference/@value</t>
        </is>
      </c>
      <c r="E18" t="inlineStr">
        <is>
          <t>Encounter.reasonCode</t>
        </is>
      </c>
      <c r="F18" t="inlineStr">
        <is>
          <t>Encounter.reasonCode</t>
        </is>
      </c>
      <c r="G18" t="inlineStr">
        <is>
          <t>Reason for visit</t>
        </is>
      </c>
      <c r="H18" t="inlineStr">
        <is>
          <t>mapped</t>
        </is>
      </c>
    </row>
    <row r="19">
      <c r="A19" t="inlineStr">
        <is>
          <t>CCD</t>
        </is>
      </c>
      <c r="B19" t="inlineStr">
        <is>
          <t>Encounters</t>
        </is>
      </c>
      <c r="C19" t="inlineStr">
        <is>
          <t>Encounter End Date</t>
        </is>
      </c>
      <c r="D19" t="inlineStr">
        <is>
          <t>component/section/entry/encounter/entryRelationship/observation/effectiveTime/high/@value</t>
        </is>
      </c>
      <c r="E19" t="inlineStr">
        <is>
          <t>Encounter.period.end</t>
        </is>
      </c>
      <c r="F19" t="inlineStr">
        <is>
          <t>Encounter.period.end</t>
        </is>
      </c>
      <c r="G19" t="inlineStr">
        <is>
          <t>Diagnosis effectiveTime high</t>
        </is>
      </c>
      <c r="H19" t="inlineStr">
        <is>
          <t>mapped</t>
        </is>
      </c>
    </row>
    <row r="20">
      <c r="A20" t="inlineStr">
        <is>
          <t>CCD</t>
        </is>
      </c>
      <c r="B20" t="inlineStr">
        <is>
          <t>Encounters</t>
        </is>
      </c>
      <c r="C20" t="inlineStr">
        <is>
          <t>Place of Service</t>
        </is>
      </c>
      <c r="D20" t="inlineStr">
        <is>
          <t>serviceEvent/performer/assignedEntity/code/@displayName</t>
        </is>
      </c>
      <c r="E20" t="inlineStr">
        <is>
          <t>Encounter.serviceType</t>
        </is>
      </c>
      <c r="F20" t="inlineStr">
        <is>
          <t>Encounter.serviceType</t>
        </is>
      </c>
      <c r="G20" t="inlineStr">
        <is>
          <t>Perform location / service type</t>
        </is>
      </c>
      <c r="H20" t="inlineStr">
        <is>
          <t>mapped</t>
        </is>
      </c>
    </row>
    <row r="21">
      <c r="A21" t="inlineStr">
        <is>
          <t>CCD</t>
        </is>
      </c>
      <c r="B21" t="inlineStr">
        <is>
          <t>Encounters</t>
        </is>
      </c>
      <c r="C21" t="inlineStr">
        <is>
          <t>Attending Provider NPI</t>
        </is>
      </c>
      <c r="D21" t="inlineStr">
        <is>
          <t>component/section/entry/encounter/participant/assignedEntity/id/@extension</t>
        </is>
      </c>
      <c r="E21" t="inlineStr">
        <is>
          <t>Encounter.participant</t>
        </is>
      </c>
      <c r="F21" t="inlineStr">
        <is>
          <t>Encounter.participant.actor</t>
        </is>
      </c>
      <c r="G21" t="inlineStr">
        <is>
          <t>Visit provider NPI</t>
        </is>
      </c>
      <c r="H21" t="inlineStr">
        <is>
          <t>mapped</t>
        </is>
      </c>
    </row>
    <row r="22">
      <c r="A22" t="inlineStr">
        <is>
          <t>CCD</t>
        </is>
      </c>
      <c r="B22" t="inlineStr">
        <is>
          <t>Encounters</t>
        </is>
      </c>
      <c r="C22" t="inlineStr">
        <is>
          <t>Diagnosis Code</t>
        </is>
      </c>
      <c r="D22" t="inlineStr">
        <is>
          <t>component/section/entry/encounter/entryRelationship/observation/value/@code</t>
        </is>
      </c>
      <c r="E22" t="inlineStr">
        <is>
          <t>Condition.code</t>
        </is>
      </c>
      <c r="F22" t="inlineStr">
        <is>
          <t>Condition.code</t>
        </is>
      </c>
      <c r="G22" t="inlineStr">
        <is>
          <t>Encounter diagnosis code</t>
        </is>
      </c>
      <c r="H22" t="inlineStr">
        <is>
          <t>mapped</t>
        </is>
      </c>
    </row>
    <row r="23">
      <c r="A23" t="inlineStr">
        <is>
          <t>CCD</t>
        </is>
      </c>
      <c r="B23" t="inlineStr">
        <is>
          <t>Encounters</t>
        </is>
      </c>
      <c r="C23" t="inlineStr">
        <is>
          <t>Diagnosis Coding System</t>
        </is>
      </c>
      <c r="D23" t="inlineStr">
        <is>
          <t>component/section/entry/encounter/entryRelationship/observation/value/@codeSystem</t>
        </is>
      </c>
      <c r="E23" t="inlineStr">
        <is>
          <t>Condition.code</t>
        </is>
      </c>
      <c r="F23" t="inlineStr">
        <is>
          <t>Condition.code</t>
        </is>
      </c>
      <c r="G23" t="inlineStr">
        <is>
          <t>Diagnosis code system</t>
        </is>
      </c>
      <c r="H23" t="inlineStr">
        <is>
          <t>mapped</t>
        </is>
      </c>
    </row>
    <row r="24">
      <c r="A24" t="inlineStr">
        <is>
          <t>CCD</t>
        </is>
      </c>
      <c r="B24" t="inlineStr">
        <is>
          <t>Encounters</t>
        </is>
      </c>
      <c r="C24" t="inlineStr">
        <is>
          <t>Diagnosis Name</t>
        </is>
      </c>
      <c r="D24" t="inlineStr">
        <is>
          <t>component/section/entry/encounter/entryRelationship/observation/value/originalText/reference/@value</t>
        </is>
      </c>
      <c r="E24" t="inlineStr">
        <is>
          <t>Condition.code</t>
        </is>
      </c>
      <c r="F24" t="inlineStr">
        <is>
          <t>Condition.code.text</t>
        </is>
      </c>
      <c r="G24" t="inlineStr">
        <is>
          <t>Diagnosis description</t>
        </is>
      </c>
      <c r="H24" t="inlineStr">
        <is>
          <t>mapped</t>
        </is>
      </c>
    </row>
    <row r="25">
      <c r="A25" t="inlineStr">
        <is>
          <t>CCD</t>
        </is>
      </c>
      <c r="B25" t="inlineStr">
        <is>
          <t>Problems</t>
        </is>
      </c>
      <c r="C25" t="inlineStr">
        <is>
          <t>Problem Code</t>
        </is>
      </c>
      <c r="D25" t="inlineStr">
        <is>
          <t>section/entry/act/entryRelationship/observation/code/@code</t>
        </is>
      </c>
      <c r="E25" t="inlineStr">
        <is>
          <t>Condition.code</t>
        </is>
      </c>
      <c r="F25" t="inlineStr">
        <is>
          <t>Condition.code</t>
        </is>
      </c>
      <c r="G25" t="inlineStr">
        <is>
          <t>Problem list code</t>
        </is>
      </c>
      <c r="H25" t="inlineStr">
        <is>
          <t>mapped</t>
        </is>
      </c>
    </row>
    <row r="26">
      <c r="A26" t="inlineStr">
        <is>
          <t>CCD</t>
        </is>
      </c>
      <c r="B26" t="inlineStr">
        <is>
          <t>Problems</t>
        </is>
      </c>
      <c r="C26" t="inlineStr">
        <is>
          <t>Problem Description</t>
        </is>
      </c>
      <c r="D26" t="inlineStr">
        <is>
          <t>section/entry/act/text/reference/@value</t>
        </is>
      </c>
      <c r="E26" t="inlineStr">
        <is>
          <t>Condition.code</t>
        </is>
      </c>
      <c r="F26" t="inlineStr">
        <is>
          <t>Condition.code.text</t>
        </is>
      </c>
      <c r="G26" t="inlineStr">
        <is>
          <t>Problem description</t>
        </is>
      </c>
      <c r="H26" t="inlineStr">
        <is>
          <t>mapped</t>
        </is>
      </c>
    </row>
    <row r="27">
      <c r="A27" t="inlineStr">
        <is>
          <t>CCD</t>
        </is>
      </c>
      <c r="B27" t="inlineStr">
        <is>
          <t>Problems</t>
        </is>
      </c>
      <c r="C27" t="inlineStr">
        <is>
          <t>Problem Onset Date</t>
        </is>
      </c>
      <c r="D27" t="inlineStr">
        <is>
          <t>section/entry/act/effectiveTime/low/@value</t>
        </is>
      </c>
      <c r="E27" t="inlineStr">
        <is>
          <t>Condition.onsetDateTime</t>
        </is>
      </c>
      <c r="F27" t="inlineStr">
        <is>
          <t>Condition.onsetDateTime</t>
        </is>
      </c>
      <c r="G27" t="inlineStr">
        <is>
          <t>Problem onset</t>
        </is>
      </c>
      <c r="H27" t="inlineStr">
        <is>
          <t>mapped</t>
        </is>
      </c>
    </row>
    <row r="28">
      <c r="A28" t="inlineStr">
        <is>
          <t>CCD</t>
        </is>
      </c>
      <c r="B28" t="inlineStr">
        <is>
          <t>Problems</t>
        </is>
      </c>
      <c r="C28" t="inlineStr">
        <is>
          <t>Problem Resolution Date</t>
        </is>
      </c>
      <c r="D28" t="inlineStr">
        <is>
          <t>section/entry/act/effectiveTime/high/@value</t>
        </is>
      </c>
      <c r="E28" t="inlineStr">
        <is>
          <t>Condition.abatementDateTime</t>
        </is>
      </c>
      <c r="F28" t="inlineStr">
        <is>
          <t>Condition.abatementDateTime</t>
        </is>
      </c>
      <c r="G28" t="inlineStr">
        <is>
          <t>Problem resolution</t>
        </is>
      </c>
      <c r="H28" t="inlineStr">
        <is>
          <t>mapped</t>
        </is>
      </c>
    </row>
    <row r="29">
      <c r="A29" t="inlineStr">
        <is>
          <t>CCD</t>
        </is>
      </c>
      <c r="B29" t="inlineStr">
        <is>
          <t>Insurance</t>
        </is>
      </c>
      <c r="C29" t="inlineStr">
        <is>
          <t>Insurance Plan ID</t>
        </is>
      </c>
      <c r="D29" t="inlineStr">
        <is>
          <t>section/entry/act/id/@extension</t>
        </is>
      </c>
      <c r="E29" t="inlineStr">
        <is>
          <t>Coverage.identifier</t>
        </is>
      </c>
      <c r="F29" t="inlineStr">
        <is>
          <t>Coverage.identifier</t>
        </is>
      </c>
      <c r="G29" t="inlineStr">
        <is>
          <t>Plan / member id</t>
        </is>
      </c>
      <c r="H29" t="inlineStr">
        <is>
          <t>mapped</t>
        </is>
      </c>
    </row>
    <row r="30">
      <c r="A30" t="inlineStr">
        <is>
          <t>CCD</t>
        </is>
      </c>
      <c r="B30" t="inlineStr">
        <is>
          <t>Insurance</t>
        </is>
      </c>
      <c r="C30" t="inlineStr">
        <is>
          <t>Insurance Plan Name</t>
        </is>
      </c>
      <c r="D30" t="inlineStr">
        <is>
          <t>section/entry/act/entryRelationship/act/text/reference/@value</t>
        </is>
      </c>
      <c r="E30" t="inlineStr">
        <is>
          <t>Coverage.payor</t>
        </is>
      </c>
      <c r="F30" t="inlineStr">
        <is>
          <t>Coverage.payor</t>
        </is>
      </c>
      <c r="G30" t="inlineStr">
        <is>
          <t>Plan name</t>
        </is>
      </c>
      <c r="H30" t="inlineStr">
        <is>
          <t>mapped</t>
        </is>
      </c>
    </row>
    <row r="31">
      <c r="A31" t="inlineStr">
        <is>
          <t>CCD</t>
        </is>
      </c>
      <c r="B31" t="inlineStr">
        <is>
          <t>Insurance</t>
        </is>
      </c>
      <c r="C31" t="inlineStr">
        <is>
          <t>Plan Effective Date</t>
        </is>
      </c>
      <c r="D31" t="inlineStr">
        <is>
          <t>section/entry/act/participant[@typeCode='COV']/time/low/@value</t>
        </is>
      </c>
      <c r="E31" t="inlineStr">
        <is>
          <t>Coverage.period.start</t>
        </is>
      </c>
      <c r="F31" t="inlineStr">
        <is>
          <t>Coverage.period.start</t>
        </is>
      </c>
      <c r="G31" t="inlineStr">
        <is>
          <t>Plan effective</t>
        </is>
      </c>
      <c r="H31" t="inlineStr">
        <is>
          <t>mapped</t>
        </is>
      </c>
    </row>
    <row r="32">
      <c r="A32" t="inlineStr">
        <is>
          <t>CCD</t>
        </is>
      </c>
      <c r="B32" t="inlineStr">
        <is>
          <t>Insurance</t>
        </is>
      </c>
      <c r="C32" t="inlineStr">
        <is>
          <t>Plan Expiration Date</t>
        </is>
      </c>
      <c r="D32" t="inlineStr">
        <is>
          <t>section/entry/act/participant[@typeCode='COV']/time/high/@value</t>
        </is>
      </c>
      <c r="E32" t="inlineStr">
        <is>
          <t>Coverage.period.end</t>
        </is>
      </c>
      <c r="F32" t="inlineStr">
        <is>
          <t>Coverage.period.end</t>
        </is>
      </c>
      <c r="G32" t="inlineStr">
        <is>
          <t>Plan expiration</t>
        </is>
      </c>
      <c r="H32" t="inlineStr">
        <is>
          <t>mapped</t>
        </is>
      </c>
    </row>
    <row r="33">
      <c r="A33" t="inlineStr">
        <is>
          <t>CCD</t>
        </is>
      </c>
      <c r="B33" t="inlineStr">
        <is>
          <t>Insurance</t>
        </is>
      </c>
      <c r="C33" t="inlineStr">
        <is>
          <t>Subscriber ID</t>
        </is>
      </c>
      <c r="D33" t="inlineStr">
        <is>
          <t>section/entry/act/participant[@typeCode='COV']/participantRole/id/@extension</t>
        </is>
      </c>
      <c r="E33" t="inlineStr">
        <is>
          <t>Coverage.subscriberId</t>
        </is>
      </c>
      <c r="F33" t="inlineStr">
        <is>
          <t>Coverage.subscriberId</t>
        </is>
      </c>
      <c r="G33" t="inlineStr">
        <is>
          <t>Subscriber id</t>
        </is>
      </c>
      <c r="H33" t="inlineStr">
        <is>
          <t>mapped</t>
        </is>
      </c>
    </row>
    <row r="34">
      <c r="A34" t="inlineStr">
        <is>
          <t>CCD</t>
        </is>
      </c>
      <c r="B34" t="inlineStr">
        <is>
          <t>Insurance</t>
        </is>
      </c>
      <c r="C34" t="inlineStr">
        <is>
          <t>Subscriber First Name</t>
        </is>
      </c>
      <c r="D34" t="inlineStr">
        <is>
          <t>recordTarget/patientRole/patient/name/given</t>
        </is>
      </c>
      <c r="E34" t="inlineStr">
        <is>
          <t>Patient.name_first</t>
        </is>
      </c>
      <c r="F34" t="inlineStr">
        <is>
          <t>Patient.name.given</t>
        </is>
      </c>
      <c r="G34" t="inlineStr">
        <is>
          <t>Subscriber first name (from patient role)</t>
        </is>
      </c>
      <c r="H34" t="inlineStr">
        <is>
          <t>mapped</t>
        </is>
      </c>
    </row>
    <row r="35">
      <c r="A35" t="inlineStr">
        <is>
          <t>CCD</t>
        </is>
      </c>
      <c r="B35" t="inlineStr">
        <is>
          <t>Insurance</t>
        </is>
      </c>
      <c r="C35" t="inlineStr">
        <is>
          <t>Subscriber Last Name</t>
        </is>
      </c>
      <c r="D35" t="inlineStr">
        <is>
          <t>recordTarget/patientRole/patient/name/family</t>
        </is>
      </c>
      <c r="E35" t="inlineStr">
        <is>
          <t>Patient.name_last</t>
        </is>
      </c>
      <c r="F35" t="inlineStr">
        <is>
          <t>Patient.name.family</t>
        </is>
      </c>
      <c r="G35" t="inlineStr">
        <is>
          <t>Subscriber last name</t>
        </is>
      </c>
      <c r="H35" t="inlineStr">
        <is>
          <t>mapped</t>
        </is>
      </c>
    </row>
    <row r="36">
      <c r="A36" t="inlineStr">
        <is>
          <t>CCDA</t>
        </is>
      </c>
      <c r="B36" t="inlineStr">
        <is>
          <t>Patient Demographics</t>
        </is>
      </c>
      <c r="C36" t="inlineStr">
        <is>
          <t>raceCode</t>
        </is>
      </c>
      <c r="D36" t="inlineStr">
        <is>
          <t>/ClinicalDocument/recordTarget/patientRole/patient/raceCode</t>
        </is>
      </c>
      <c r="E36" t="inlineStr">
        <is>
          <t>Patient.race</t>
        </is>
      </c>
      <c r="F36" t="inlineStr">
        <is>
          <t>Patient.extension(us-core-race)</t>
        </is>
      </c>
      <c r="G36" t="inlineStr">
        <is>
          <t>USCDI Race; CDCREC terminology; POC stewardship row</t>
        </is>
      </c>
      <c r="H36" t="inlineStr">
        <is>
          <t>mapped</t>
        </is>
      </c>
    </row>
    <row r="37">
      <c r="A37" t="inlineStr">
        <is>
          <t>CCDA</t>
        </is>
      </c>
      <c r="B37" t="inlineStr">
        <is>
          <t>Patient Demographics</t>
        </is>
      </c>
      <c r="C37" t="inlineStr">
        <is>
          <t>ethnicGroupCode</t>
        </is>
      </c>
      <c r="D37" t="inlineStr">
        <is>
          <t>/ClinicalDocument/recordTarget/patientRole/patient/ethnicGroupCode</t>
        </is>
      </c>
      <c r="E37" t="inlineStr">
        <is>
          <t>Patient.ethnicity</t>
        </is>
      </c>
      <c r="F37" t="inlineStr">
        <is>
          <t>Patient.extension(us-core-ethnicity)</t>
        </is>
      </c>
      <c r="G37" t="inlineStr">
        <is>
          <t>USCDI Ethnicity; CDCREC terminology; POC stewardship row</t>
        </is>
      </c>
      <c r="H37" t="inlineStr">
        <is>
          <t>mapped</t>
        </is>
      </c>
    </row>
    <row r="38">
      <c r="A38" t="inlineStr">
        <is>
          <t>CCDA</t>
        </is>
      </c>
      <c r="B38" t="inlineStr">
        <is>
          <t>Patient Demographics</t>
        </is>
      </c>
      <c r="C38" t="inlineStr">
        <is>
          <t>languageCommunication</t>
        </is>
      </c>
      <c r="D38" t="inlineStr">
        <is>
          <t>/ClinicalDocument/recordTarget/patientRole/patient/languageCommunication/languageCode</t>
        </is>
      </c>
      <c r="E38" t="inlineStr">
        <is>
          <t>Patient.language</t>
        </is>
      </c>
      <c r="F38" t="inlineStr">
        <is>
          <t>Patient.communication.language</t>
        </is>
      </c>
      <c r="G38" t="inlineStr">
        <is>
          <t>BCP 47 binding; POC stewardship row</t>
        </is>
      </c>
      <c r="H38" t="inlineStr">
        <is>
          <t>mapped</t>
        </is>
      </c>
    </row>
    <row r="39">
      <c r="A39" t="inlineStr">
        <is>
          <t>CCDA</t>
        </is>
      </c>
      <c r="B39" t="inlineStr">
        <is>
          <t>Patient Demographics</t>
        </is>
      </c>
      <c r="C39" t="inlineStr">
        <is>
          <t>administrativeGenderCode</t>
        </is>
      </c>
      <c r="D39" t="inlineStr">
        <is>
          <t>/ClinicalDocument/recordTarget/patientRole/patient/administrativeGenderCode</t>
        </is>
      </c>
      <c r="E39" t="inlineStr">
        <is>
          <t>Patient.birth_sex</t>
        </is>
      </c>
      <c r="F39" t="inlineStr">
        <is>
          <t>Patient.extension(us-core-birthsex)</t>
        </is>
      </c>
      <c r="G39" t="inlineStr">
        <is>
          <t>Administrative sex; not gender identity; POC stewardship row</t>
        </is>
      </c>
      <c r="H39" t="inlineStr">
        <is>
          <t>mapped</t>
        </is>
      </c>
    </row>
    <row r="40">
      <c r="A40" t="inlineStr">
        <is>
          <t>CCDA</t>
        </is>
      </c>
      <c r="B40" t="inlineStr">
        <is>
          <t>Patient Demographics</t>
        </is>
      </c>
      <c r="C40" t="inlineStr">
        <is>
          <t>note</t>
        </is>
      </c>
      <c r="D40" t="inlineStr"/>
      <c r="E40" t="inlineStr">
        <is>
          <t>Patient.gender_id</t>
        </is>
      </c>
      <c r="F40" t="inlineStr">
        <is>
          <t>Observation.valueCodeableConcept (LOINC 76691-5)</t>
        </is>
      </c>
      <c r="G40" t="inlineStr">
        <is>
          <t>Gender identity rarely in CCDA; govern via FHIR US Core Observation</t>
        </is>
      </c>
      <c r="H40" t="inlineStr">
        <is>
          <t>partial</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268"/>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9" customWidth="1" min="3" max="3"/>
    <col width="38" customWidth="1" min="4" max="4"/>
    <col width="38" customWidth="1" min="5" max="5"/>
    <col width="18" customWidth="1" min="6" max="6"/>
    <col width="19" customWidth="1" min="7" max="7"/>
    <col width="38" customWidth="1" min="8" max="8"/>
    <col width="38" customWidth="1" min="9" max="9"/>
    <col width="38" customWidth="1" min="10" max="10"/>
    <col width="24" customWidth="1" min="11" max="11"/>
    <col width="20" customWidth="1" min="12" max="12"/>
  </cols>
  <sheetData>
    <row r="1">
      <c r="A1" s="4" t="inlineStr">
        <is>
          <t>inventory_scope</t>
        </is>
      </c>
      <c r="B1" s="4" t="inlineStr">
        <is>
          <t>fhir_version</t>
        </is>
      </c>
      <c r="C1" s="4" t="inlineStr">
        <is>
          <t>fhir_resource</t>
        </is>
      </c>
      <c r="D1" s="4" t="inlineStr">
        <is>
          <t>fhir_path</t>
        </is>
      </c>
      <c r="E1" s="4" t="inlineStr">
        <is>
          <t>fhir_data_type</t>
        </is>
      </c>
      <c r="F1" s="4" t="inlineStr">
        <is>
          <t>fhir_cardinality</t>
        </is>
      </c>
      <c r="G1" s="4" t="inlineStr">
        <is>
          <t>fhir_must_support</t>
        </is>
      </c>
      <c r="H1" s="4" t="inlineStr">
        <is>
          <t>fhir_profile</t>
        </is>
      </c>
      <c r="I1" s="4" t="inlineStr">
        <is>
          <t>fhir_definition</t>
        </is>
      </c>
      <c r="J1" s="4" t="inlineStr">
        <is>
          <t>standard_reference_url</t>
        </is>
      </c>
      <c r="K1" s="4" t="inlineStr">
        <is>
          <t>semantic_id</t>
        </is>
      </c>
      <c r="L1" s="4" t="inlineStr">
        <is>
          <t>mapping_status</t>
        </is>
      </c>
    </row>
    <row r="2">
      <c r="A2" t="inlineStr">
        <is>
          <t>admin_core</t>
        </is>
      </c>
      <c r="B2" t="inlineStr">
        <is>
          <t>R5</t>
        </is>
      </c>
      <c r="C2" t="inlineStr">
        <is>
          <t>CareTeam</t>
        </is>
      </c>
      <c r="D2" t="inlineStr">
        <is>
          <t>CareTeam.category</t>
        </is>
      </c>
      <c r="E2" t="inlineStr">
        <is>
          <t>CodeableConcept</t>
        </is>
      </c>
      <c r="F2" t="inlineStr">
        <is>
          <t>0..*</t>
        </is>
      </c>
      <c r="G2" t="inlineStr">
        <is>
          <t>False</t>
        </is>
      </c>
      <c r="H2" t="inlineStr">
        <is>
          <t>http://hl7.org/fhir/StructureDefinition/CareTeam</t>
        </is>
      </c>
      <c r="I2" t="inlineStr">
        <is>
          <t>Identifies what kind of team.  This is to support differentiation between multiple co-existing teams, such as care plan team, episode of care team, longitudinal care team.</t>
        </is>
      </c>
      <c r="J2" t="inlineStr">
        <is>
          <t>http://hl7.org/fhir/StructureDefinition/CareTeam</t>
        </is>
      </c>
      <c r="K2" t="inlineStr"/>
      <c r="L2" t="inlineStr">
        <is>
          <t>needs_new_semantic</t>
        </is>
      </c>
    </row>
    <row r="3">
      <c r="A3" t="inlineStr">
        <is>
          <t>admin_core</t>
        </is>
      </c>
      <c r="B3" t="inlineStr">
        <is>
          <t>R5</t>
        </is>
      </c>
      <c r="C3" t="inlineStr">
        <is>
          <t>CareTeam</t>
        </is>
      </c>
      <c r="D3" t="inlineStr">
        <is>
          <t>CareTeam.contained</t>
        </is>
      </c>
      <c r="E3" t="inlineStr">
        <is>
          <t>Resource</t>
        </is>
      </c>
      <c r="F3" t="inlineStr">
        <is>
          <t>0..*</t>
        </is>
      </c>
      <c r="G3" t="inlineStr">
        <is>
          <t>False</t>
        </is>
      </c>
      <c r="H3" t="inlineStr">
        <is>
          <t>http://hl7.org/fhir/StructureDefinition/CareTeam</t>
        </is>
      </c>
      <c r="I3"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3" t="inlineStr">
        <is>
          <t>http://hl7.org/fhir/StructureDefinition/CareTeam</t>
        </is>
      </c>
      <c r="K3" t="inlineStr"/>
      <c r="L3" t="inlineStr">
        <is>
          <t>needs_new_semantic</t>
        </is>
      </c>
    </row>
    <row r="4">
      <c r="A4" t="inlineStr">
        <is>
          <t>admin_core</t>
        </is>
      </c>
      <c r="B4" t="inlineStr">
        <is>
          <t>R5</t>
        </is>
      </c>
      <c r="C4" t="inlineStr">
        <is>
          <t>CareTeam</t>
        </is>
      </c>
      <c r="D4" t="inlineStr">
        <is>
          <t>CareTeam.extension</t>
        </is>
      </c>
      <c r="E4" t="inlineStr">
        <is>
          <t>Extension</t>
        </is>
      </c>
      <c r="F4" t="inlineStr">
        <is>
          <t>0..*</t>
        </is>
      </c>
      <c r="G4" t="inlineStr">
        <is>
          <t>False</t>
        </is>
      </c>
      <c r="H4" t="inlineStr">
        <is>
          <t>http://hl7.org/fhir/StructureDefinition/CareTeam</t>
        </is>
      </c>
      <c r="I4"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4" t="inlineStr">
        <is>
          <t>http://hl7.org/fhir/StructureDefinition/CareTeam</t>
        </is>
      </c>
      <c r="K4" t="inlineStr"/>
      <c r="L4" t="inlineStr">
        <is>
          <t>needs_new_semantic</t>
        </is>
      </c>
    </row>
    <row r="5">
      <c r="A5" t="inlineStr">
        <is>
          <t>admin_core</t>
        </is>
      </c>
      <c r="B5" t="inlineStr">
        <is>
          <t>R5</t>
        </is>
      </c>
      <c r="C5" t="inlineStr">
        <is>
          <t>CareTeam</t>
        </is>
      </c>
      <c r="D5" t="inlineStr">
        <is>
          <t>CareTeam.id</t>
        </is>
      </c>
      <c r="E5" t="inlineStr">
        <is>
          <t>http://hl7.org/fhirpath/System.String</t>
        </is>
      </c>
      <c r="F5" t="inlineStr">
        <is>
          <t>0..1</t>
        </is>
      </c>
      <c r="G5" t="inlineStr">
        <is>
          <t>False</t>
        </is>
      </c>
      <c r="H5" t="inlineStr">
        <is>
          <t>http://hl7.org/fhir/StructureDefinition/CareTeam</t>
        </is>
      </c>
      <c r="I5" t="inlineStr">
        <is>
          <t>The logical id of the resource, as used in the URL for the resource. Once assigned, this value never changes.</t>
        </is>
      </c>
      <c r="J5" t="inlineStr">
        <is>
          <t>http://hl7.org/fhir/StructureDefinition/CareTeam</t>
        </is>
      </c>
      <c r="K5" t="inlineStr"/>
      <c r="L5" t="inlineStr">
        <is>
          <t>needs_new_semantic</t>
        </is>
      </c>
    </row>
    <row r="6">
      <c r="A6" t="inlineStr">
        <is>
          <t>admin_core</t>
        </is>
      </c>
      <c r="B6" t="inlineStr">
        <is>
          <t>R5</t>
        </is>
      </c>
      <c r="C6" t="inlineStr">
        <is>
          <t>CareTeam</t>
        </is>
      </c>
      <c r="D6" t="inlineStr">
        <is>
          <t>CareTeam.identifier</t>
        </is>
      </c>
      <c r="E6" t="inlineStr">
        <is>
          <t>Identifier</t>
        </is>
      </c>
      <c r="F6" t="inlineStr">
        <is>
          <t>0..*</t>
        </is>
      </c>
      <c r="G6" t="inlineStr">
        <is>
          <t>False</t>
        </is>
      </c>
      <c r="H6" t="inlineStr">
        <is>
          <t>http://hl7.org/fhir/StructureDefinition/CareTeam</t>
        </is>
      </c>
      <c r="I6" t="inlineStr">
        <is>
          <t>Business identifiers assigned to this care team by the performer or other systems which remain constant as the resource is updated and propagates from server to server.</t>
        </is>
      </c>
      <c r="J6" t="inlineStr">
        <is>
          <t>http://hl7.org/fhir/StructureDefinition/CareTeam</t>
        </is>
      </c>
      <c r="K6" t="inlineStr"/>
      <c r="L6" t="inlineStr">
        <is>
          <t>needs_new_semantic</t>
        </is>
      </c>
    </row>
    <row r="7">
      <c r="A7" t="inlineStr">
        <is>
          <t>admin_core</t>
        </is>
      </c>
      <c r="B7" t="inlineStr">
        <is>
          <t>R5</t>
        </is>
      </c>
      <c r="C7" t="inlineStr">
        <is>
          <t>CareTeam</t>
        </is>
      </c>
      <c r="D7" t="inlineStr">
        <is>
          <t>CareTeam.implicitRules</t>
        </is>
      </c>
      <c r="E7" t="inlineStr">
        <is>
          <t>uri</t>
        </is>
      </c>
      <c r="F7" t="inlineStr">
        <is>
          <t>0..1</t>
        </is>
      </c>
      <c r="G7" t="inlineStr">
        <is>
          <t>False</t>
        </is>
      </c>
      <c r="H7" t="inlineStr">
        <is>
          <t>http://hl7.org/fhir/StructureDefinition/CareTeam</t>
        </is>
      </c>
      <c r="I7"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7" t="inlineStr">
        <is>
          <t>http://hl7.org/fhir/StructureDefinition/CareTeam</t>
        </is>
      </c>
      <c r="K7" t="inlineStr"/>
      <c r="L7" t="inlineStr">
        <is>
          <t>needs_new_semantic</t>
        </is>
      </c>
    </row>
    <row r="8">
      <c r="A8" t="inlineStr">
        <is>
          <t>admin_core</t>
        </is>
      </c>
      <c r="B8" t="inlineStr">
        <is>
          <t>R5</t>
        </is>
      </c>
      <c r="C8" t="inlineStr">
        <is>
          <t>CareTeam</t>
        </is>
      </c>
      <c r="D8" t="inlineStr">
        <is>
          <t>CareTeam.language</t>
        </is>
      </c>
      <c r="E8" t="inlineStr">
        <is>
          <t>code</t>
        </is>
      </c>
      <c r="F8" t="inlineStr">
        <is>
          <t>0..1</t>
        </is>
      </c>
      <c r="G8" t="inlineStr">
        <is>
          <t>False</t>
        </is>
      </c>
      <c r="H8" t="inlineStr">
        <is>
          <t>http://hl7.org/fhir/StructureDefinition/CareTeam</t>
        </is>
      </c>
      <c r="I8" t="inlineStr">
        <is>
          <t>The base language in which the resource is written.</t>
        </is>
      </c>
      <c r="J8" t="inlineStr">
        <is>
          <t>http://hl7.org/fhir/StructureDefinition/CareTeam</t>
        </is>
      </c>
      <c r="K8" t="inlineStr"/>
      <c r="L8" t="inlineStr">
        <is>
          <t>needs_new_semantic</t>
        </is>
      </c>
    </row>
    <row r="9">
      <c r="A9" t="inlineStr">
        <is>
          <t>admin_core</t>
        </is>
      </c>
      <c r="B9" t="inlineStr">
        <is>
          <t>R5</t>
        </is>
      </c>
      <c r="C9" t="inlineStr">
        <is>
          <t>CareTeam</t>
        </is>
      </c>
      <c r="D9" t="inlineStr">
        <is>
          <t>CareTeam.managingOrganization</t>
        </is>
      </c>
      <c r="E9" t="inlineStr">
        <is>
          <t>Reference</t>
        </is>
      </c>
      <c r="F9" t="inlineStr">
        <is>
          <t>0..*</t>
        </is>
      </c>
      <c r="G9" t="inlineStr">
        <is>
          <t>False</t>
        </is>
      </c>
      <c r="H9" t="inlineStr">
        <is>
          <t>http://hl7.org/fhir/StructureDefinition/CareTeam</t>
        </is>
      </c>
      <c r="I9" t="inlineStr">
        <is>
          <t>The organization responsible for the care team.</t>
        </is>
      </c>
      <c r="J9" t="inlineStr">
        <is>
          <t>http://hl7.org/fhir/StructureDefinition/CareTeam</t>
        </is>
      </c>
      <c r="K9" t="inlineStr"/>
      <c r="L9" t="inlineStr">
        <is>
          <t>needs_new_semantic</t>
        </is>
      </c>
    </row>
    <row r="10">
      <c r="A10" t="inlineStr">
        <is>
          <t>admin_core</t>
        </is>
      </c>
      <c r="B10" t="inlineStr">
        <is>
          <t>R5</t>
        </is>
      </c>
      <c r="C10" t="inlineStr">
        <is>
          <t>CareTeam</t>
        </is>
      </c>
      <c r="D10" t="inlineStr">
        <is>
          <t>CareTeam.meta</t>
        </is>
      </c>
      <c r="E10" t="inlineStr">
        <is>
          <t>Meta</t>
        </is>
      </c>
      <c r="F10" t="inlineStr">
        <is>
          <t>0..1</t>
        </is>
      </c>
      <c r="G10" t="inlineStr">
        <is>
          <t>False</t>
        </is>
      </c>
      <c r="H10" t="inlineStr">
        <is>
          <t>http://hl7.org/fhir/StructureDefinition/CareTeam</t>
        </is>
      </c>
      <c r="I10" t="inlineStr">
        <is>
          <t>The metadata about the resource. This is content that is maintained by the infrastructure. Changes to the content might not always be associated with version changes to the resource.</t>
        </is>
      </c>
      <c r="J10" t="inlineStr">
        <is>
          <t>http://hl7.org/fhir/StructureDefinition/CareTeam</t>
        </is>
      </c>
      <c r="K10" t="inlineStr"/>
      <c r="L10" t="inlineStr">
        <is>
          <t>needs_new_semantic</t>
        </is>
      </c>
    </row>
    <row r="11">
      <c r="A11" t="inlineStr">
        <is>
          <t>admin_core</t>
        </is>
      </c>
      <c r="B11" t="inlineStr">
        <is>
          <t>R5</t>
        </is>
      </c>
      <c r="C11" t="inlineStr">
        <is>
          <t>CareTeam</t>
        </is>
      </c>
      <c r="D11" t="inlineStr">
        <is>
          <t>CareTeam.modifierExtension</t>
        </is>
      </c>
      <c r="E11" t="inlineStr">
        <is>
          <t>Extension</t>
        </is>
      </c>
      <c r="F11" t="inlineStr">
        <is>
          <t>0..*</t>
        </is>
      </c>
      <c r="G11" t="inlineStr">
        <is>
          <t>False</t>
        </is>
      </c>
      <c r="H11" t="inlineStr">
        <is>
          <t>http://hl7.org/fhir/StructureDefinition/CareTeam</t>
        </is>
      </c>
      <c r="I11"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1" t="inlineStr">
        <is>
          <t>http://hl7.org/fhir/StructureDefinition/CareTeam</t>
        </is>
      </c>
      <c r="K11" t="inlineStr"/>
      <c r="L11" t="inlineStr">
        <is>
          <t>needs_new_semantic</t>
        </is>
      </c>
    </row>
    <row r="12">
      <c r="A12" t="inlineStr">
        <is>
          <t>admin_core</t>
        </is>
      </c>
      <c r="B12" t="inlineStr">
        <is>
          <t>R5</t>
        </is>
      </c>
      <c r="C12" t="inlineStr">
        <is>
          <t>CareTeam</t>
        </is>
      </c>
      <c r="D12" t="inlineStr">
        <is>
          <t>CareTeam.name</t>
        </is>
      </c>
      <c r="E12" t="inlineStr">
        <is>
          <t>string</t>
        </is>
      </c>
      <c r="F12" t="inlineStr">
        <is>
          <t>0..1</t>
        </is>
      </c>
      <c r="G12" t="inlineStr">
        <is>
          <t>False</t>
        </is>
      </c>
      <c r="H12" t="inlineStr">
        <is>
          <t>http://hl7.org/fhir/StructureDefinition/CareTeam</t>
        </is>
      </c>
      <c r="I12" t="inlineStr">
        <is>
          <t>A label for human use intended to distinguish like teams.  E.g. the "red" vs. "green" trauma teams.</t>
        </is>
      </c>
      <c r="J12" t="inlineStr">
        <is>
          <t>http://hl7.org/fhir/StructureDefinition/CareTeam</t>
        </is>
      </c>
      <c r="K12" t="inlineStr"/>
      <c r="L12" t="inlineStr">
        <is>
          <t>needs_new_semantic</t>
        </is>
      </c>
    </row>
    <row r="13">
      <c r="A13" t="inlineStr">
        <is>
          <t>admin_core</t>
        </is>
      </c>
      <c r="B13" t="inlineStr">
        <is>
          <t>R5</t>
        </is>
      </c>
      <c r="C13" t="inlineStr">
        <is>
          <t>CareTeam</t>
        </is>
      </c>
      <c r="D13" t="inlineStr">
        <is>
          <t>CareTeam.note</t>
        </is>
      </c>
      <c r="E13" t="inlineStr">
        <is>
          <t>Annotation</t>
        </is>
      </c>
      <c r="F13" t="inlineStr">
        <is>
          <t>0..*</t>
        </is>
      </c>
      <c r="G13" t="inlineStr">
        <is>
          <t>False</t>
        </is>
      </c>
      <c r="H13" t="inlineStr">
        <is>
          <t>http://hl7.org/fhir/StructureDefinition/CareTeam</t>
        </is>
      </c>
      <c r="I13" t="inlineStr">
        <is>
          <t>Comments made about the CareTeam.</t>
        </is>
      </c>
      <c r="J13" t="inlineStr">
        <is>
          <t>http://hl7.org/fhir/StructureDefinition/CareTeam</t>
        </is>
      </c>
      <c r="K13" t="inlineStr"/>
      <c r="L13" t="inlineStr">
        <is>
          <t>needs_new_semantic</t>
        </is>
      </c>
    </row>
    <row r="14">
      <c r="A14" t="inlineStr">
        <is>
          <t>admin_core</t>
        </is>
      </c>
      <c r="B14" t="inlineStr">
        <is>
          <t>R5</t>
        </is>
      </c>
      <c r="C14" t="inlineStr">
        <is>
          <t>CareTeam</t>
        </is>
      </c>
      <c r="D14" t="inlineStr">
        <is>
          <t>CareTeam.participant</t>
        </is>
      </c>
      <c r="E14" t="inlineStr">
        <is>
          <t>BackboneElement</t>
        </is>
      </c>
      <c r="F14" t="inlineStr">
        <is>
          <t>0..*</t>
        </is>
      </c>
      <c r="G14" t="inlineStr">
        <is>
          <t>False</t>
        </is>
      </c>
      <c r="H14" t="inlineStr">
        <is>
          <t>http://hl7.org/fhir/StructureDefinition/CareTeam</t>
        </is>
      </c>
      <c r="I14" t="inlineStr">
        <is>
          <t>Identifies all people and organizations who are expected to be involved in the care team.</t>
        </is>
      </c>
      <c r="J14" t="inlineStr">
        <is>
          <t>http://hl7.org/fhir/StructureDefinition/CareTeam</t>
        </is>
      </c>
      <c r="K14" t="inlineStr"/>
      <c r="L14" t="inlineStr">
        <is>
          <t>needs_new_semantic</t>
        </is>
      </c>
    </row>
    <row r="15">
      <c r="A15" t="inlineStr">
        <is>
          <t>admin_core</t>
        </is>
      </c>
      <c r="B15" t="inlineStr">
        <is>
          <t>R5</t>
        </is>
      </c>
      <c r="C15" t="inlineStr">
        <is>
          <t>CareTeam</t>
        </is>
      </c>
      <c r="D15" t="inlineStr">
        <is>
          <t>CareTeam.participant.coverage[x]</t>
        </is>
      </c>
      <c r="E15" t="inlineStr">
        <is>
          <t>Period</t>
        </is>
      </c>
      <c r="F15" t="inlineStr">
        <is>
          <t>0..1</t>
        </is>
      </c>
      <c r="G15" t="inlineStr">
        <is>
          <t>False</t>
        </is>
      </c>
      <c r="H15" t="inlineStr">
        <is>
          <t>http://hl7.org/fhir/StructureDefinition/CareTeam</t>
        </is>
      </c>
      <c r="I15" t="inlineStr">
        <is>
          <t>When the member is generally available within this care team.</t>
        </is>
      </c>
      <c r="J15" t="inlineStr">
        <is>
          <t>http://hl7.org/fhir/StructureDefinition/CareTeam</t>
        </is>
      </c>
      <c r="K15" t="inlineStr"/>
      <c r="L15" t="inlineStr">
        <is>
          <t>needs_new_semantic</t>
        </is>
      </c>
    </row>
    <row r="16">
      <c r="A16" t="inlineStr">
        <is>
          <t>admin_core</t>
        </is>
      </c>
      <c r="B16" t="inlineStr">
        <is>
          <t>R5</t>
        </is>
      </c>
      <c r="C16" t="inlineStr">
        <is>
          <t>CareTeam</t>
        </is>
      </c>
      <c r="D16" t="inlineStr">
        <is>
          <t>CareTeam.participant.extension</t>
        </is>
      </c>
      <c r="E16" t="inlineStr">
        <is>
          <t>Extension</t>
        </is>
      </c>
      <c r="F16" t="inlineStr">
        <is>
          <t>0..*</t>
        </is>
      </c>
      <c r="G16" t="inlineStr"/>
      <c r="H16" t="inlineStr">
        <is>
          <t>http://hl7.org/fhir/StructureDefinition/CareTeam</t>
        </is>
      </c>
      <c r="I16"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6" t="inlineStr">
        <is>
          <t>http://hl7.org/fhir/StructureDefinition/CareTeam</t>
        </is>
      </c>
      <c r="K16" t="inlineStr"/>
      <c r="L16" t="inlineStr">
        <is>
          <t>needs_new_semantic</t>
        </is>
      </c>
    </row>
    <row r="17">
      <c r="A17" t="inlineStr">
        <is>
          <t>admin_core</t>
        </is>
      </c>
      <c r="B17" t="inlineStr">
        <is>
          <t>R5</t>
        </is>
      </c>
      <c r="C17" t="inlineStr">
        <is>
          <t>CareTeam</t>
        </is>
      </c>
      <c r="D17" t="inlineStr">
        <is>
          <t>CareTeam.participant.id</t>
        </is>
      </c>
      <c r="E17" t="inlineStr">
        <is>
          <t>http://hl7.org/fhirpath/System.String</t>
        </is>
      </c>
      <c r="F17" t="inlineStr">
        <is>
          <t>0..1</t>
        </is>
      </c>
      <c r="G17" t="inlineStr"/>
      <c r="H17" t="inlineStr">
        <is>
          <t>http://hl7.org/fhir/StructureDefinition/CareTeam</t>
        </is>
      </c>
      <c r="I17" t="inlineStr">
        <is>
          <t>Unique id for the element within a resource (for internal references). This may be any string value that does not contain spaces.</t>
        </is>
      </c>
      <c r="J17" t="inlineStr">
        <is>
          <t>http://hl7.org/fhir/StructureDefinition/CareTeam</t>
        </is>
      </c>
      <c r="K17" t="inlineStr"/>
      <c r="L17" t="inlineStr">
        <is>
          <t>needs_new_semantic</t>
        </is>
      </c>
    </row>
    <row r="18">
      <c r="A18" t="inlineStr">
        <is>
          <t>admin_core</t>
        </is>
      </c>
      <c r="B18" t="inlineStr">
        <is>
          <t>R5</t>
        </is>
      </c>
      <c r="C18" t="inlineStr">
        <is>
          <t>CareTeam</t>
        </is>
      </c>
      <c r="D18" t="inlineStr">
        <is>
          <t>CareTeam.participant.member</t>
        </is>
      </c>
      <c r="E18" t="inlineStr">
        <is>
          <t>Reference</t>
        </is>
      </c>
      <c r="F18" t="inlineStr">
        <is>
          <t>0..1</t>
        </is>
      </c>
      <c r="G18" t="inlineStr">
        <is>
          <t>False</t>
        </is>
      </c>
      <c r="H18" t="inlineStr">
        <is>
          <t>http://hl7.org/fhir/StructureDefinition/CareTeam</t>
        </is>
      </c>
      <c r="I18" t="inlineStr">
        <is>
          <t>The specific person or organization who is participating/expected to participate in the care team.</t>
        </is>
      </c>
      <c r="J18" t="inlineStr">
        <is>
          <t>http://hl7.org/fhir/StructureDefinition/CareTeam</t>
        </is>
      </c>
      <c r="K18" t="inlineStr"/>
      <c r="L18" t="inlineStr">
        <is>
          <t>needs_new_semantic</t>
        </is>
      </c>
    </row>
    <row r="19">
      <c r="A19" t="inlineStr">
        <is>
          <t>admin_core</t>
        </is>
      </c>
      <c r="B19" t="inlineStr">
        <is>
          <t>R5</t>
        </is>
      </c>
      <c r="C19" t="inlineStr">
        <is>
          <t>CareTeam</t>
        </is>
      </c>
      <c r="D19" t="inlineStr">
        <is>
          <t>CareTeam.participant.modifierExtension</t>
        </is>
      </c>
      <c r="E19" t="inlineStr">
        <is>
          <t>Extension</t>
        </is>
      </c>
      <c r="F19" t="inlineStr">
        <is>
          <t>0..*</t>
        </is>
      </c>
      <c r="G19" t="inlineStr"/>
      <c r="H19" t="inlineStr">
        <is>
          <t>http://hl7.org/fhir/StructureDefinition/CareTeam</t>
        </is>
      </c>
      <c r="I19"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9" t="inlineStr">
        <is>
          <t>http://hl7.org/fhir/StructureDefinition/CareTeam</t>
        </is>
      </c>
      <c r="K19" t="inlineStr"/>
      <c r="L19" t="inlineStr">
        <is>
          <t>needs_new_semantic</t>
        </is>
      </c>
    </row>
    <row r="20">
      <c r="A20" t="inlineStr">
        <is>
          <t>admin_core</t>
        </is>
      </c>
      <c r="B20" t="inlineStr">
        <is>
          <t>R5</t>
        </is>
      </c>
      <c r="C20" t="inlineStr">
        <is>
          <t>CareTeam</t>
        </is>
      </c>
      <c r="D20" t="inlineStr">
        <is>
          <t>CareTeam.participant.onBehalfOf</t>
        </is>
      </c>
      <c r="E20" t="inlineStr">
        <is>
          <t>Reference</t>
        </is>
      </c>
      <c r="F20" t="inlineStr">
        <is>
          <t>0..1</t>
        </is>
      </c>
      <c r="G20" t="inlineStr">
        <is>
          <t>False</t>
        </is>
      </c>
      <c r="H20" t="inlineStr">
        <is>
          <t>http://hl7.org/fhir/StructureDefinition/CareTeam</t>
        </is>
      </c>
      <c r="I20" t="inlineStr">
        <is>
          <t>The organization of the practitioner.</t>
        </is>
      </c>
      <c r="J20" t="inlineStr">
        <is>
          <t>http://hl7.org/fhir/StructureDefinition/CareTeam</t>
        </is>
      </c>
      <c r="K20" t="inlineStr"/>
      <c r="L20" t="inlineStr">
        <is>
          <t>needs_new_semantic</t>
        </is>
      </c>
    </row>
    <row r="21">
      <c r="A21" t="inlineStr">
        <is>
          <t>admin_core</t>
        </is>
      </c>
      <c r="B21" t="inlineStr">
        <is>
          <t>R5</t>
        </is>
      </c>
      <c r="C21" t="inlineStr">
        <is>
          <t>CareTeam</t>
        </is>
      </c>
      <c r="D21" t="inlineStr">
        <is>
          <t>CareTeam.participant.role</t>
        </is>
      </c>
      <c r="E21" t="inlineStr">
        <is>
          <t>CodeableConcept</t>
        </is>
      </c>
      <c r="F21" t="inlineStr">
        <is>
          <t>0..1</t>
        </is>
      </c>
      <c r="G21" t="inlineStr">
        <is>
          <t>False</t>
        </is>
      </c>
      <c r="H21" t="inlineStr">
        <is>
          <t>http://hl7.org/fhir/StructureDefinition/CareTeam</t>
        </is>
      </c>
      <c r="I21" t="inlineStr">
        <is>
          <t>Indicates specific responsibility of an individual within the care team, such as "Primary care physician", "Trained social worker counselor", "Caregiver", etc.</t>
        </is>
      </c>
      <c r="J21" t="inlineStr">
        <is>
          <t>http://hl7.org/fhir/StructureDefinition/CareTeam</t>
        </is>
      </c>
      <c r="K21" t="inlineStr"/>
      <c r="L21" t="inlineStr">
        <is>
          <t>needs_new_semantic</t>
        </is>
      </c>
    </row>
    <row r="22">
      <c r="A22" t="inlineStr">
        <is>
          <t>admin_core</t>
        </is>
      </c>
      <c r="B22" t="inlineStr">
        <is>
          <t>R5</t>
        </is>
      </c>
      <c r="C22" t="inlineStr">
        <is>
          <t>CareTeam</t>
        </is>
      </c>
      <c r="D22" t="inlineStr">
        <is>
          <t>CareTeam.period</t>
        </is>
      </c>
      <c r="E22" t="inlineStr">
        <is>
          <t>Period</t>
        </is>
      </c>
      <c r="F22" t="inlineStr">
        <is>
          <t>0..1</t>
        </is>
      </c>
      <c r="G22" t="inlineStr">
        <is>
          <t>False</t>
        </is>
      </c>
      <c r="H22" t="inlineStr">
        <is>
          <t>http://hl7.org/fhir/StructureDefinition/CareTeam</t>
        </is>
      </c>
      <c r="I22" t="inlineStr">
        <is>
          <t>Indicates when the team did (or is intended to) come into effect and end.</t>
        </is>
      </c>
      <c r="J22" t="inlineStr">
        <is>
          <t>http://hl7.org/fhir/StructureDefinition/CareTeam</t>
        </is>
      </c>
      <c r="K22" t="inlineStr"/>
      <c r="L22" t="inlineStr">
        <is>
          <t>needs_new_semantic</t>
        </is>
      </c>
    </row>
    <row r="23">
      <c r="A23" t="inlineStr">
        <is>
          <t>admin_core</t>
        </is>
      </c>
      <c r="B23" t="inlineStr">
        <is>
          <t>R5</t>
        </is>
      </c>
      <c r="C23" t="inlineStr">
        <is>
          <t>CareTeam</t>
        </is>
      </c>
      <c r="D23" t="inlineStr">
        <is>
          <t>CareTeam.reason</t>
        </is>
      </c>
      <c r="E23" t="inlineStr">
        <is>
          <t>CodeableReference</t>
        </is>
      </c>
      <c r="F23" t="inlineStr">
        <is>
          <t>0..*</t>
        </is>
      </c>
      <c r="G23" t="inlineStr">
        <is>
          <t>False</t>
        </is>
      </c>
      <c r="H23" t="inlineStr">
        <is>
          <t>http://hl7.org/fhir/StructureDefinition/CareTeam</t>
        </is>
      </c>
      <c r="I23" t="inlineStr">
        <is>
          <t>Describes why the care team exists.</t>
        </is>
      </c>
      <c r="J23" t="inlineStr">
        <is>
          <t>http://hl7.org/fhir/StructureDefinition/CareTeam</t>
        </is>
      </c>
      <c r="K23" t="inlineStr"/>
      <c r="L23" t="inlineStr">
        <is>
          <t>needs_new_semantic</t>
        </is>
      </c>
    </row>
    <row r="24">
      <c r="A24" t="inlineStr">
        <is>
          <t>admin_core</t>
        </is>
      </c>
      <c r="B24" t="inlineStr">
        <is>
          <t>R5</t>
        </is>
      </c>
      <c r="C24" t="inlineStr">
        <is>
          <t>CareTeam</t>
        </is>
      </c>
      <c r="D24" t="inlineStr">
        <is>
          <t>CareTeam.status</t>
        </is>
      </c>
      <c r="E24" t="inlineStr">
        <is>
          <t>code</t>
        </is>
      </c>
      <c r="F24" t="inlineStr">
        <is>
          <t>0..1</t>
        </is>
      </c>
      <c r="G24" t="inlineStr">
        <is>
          <t>False</t>
        </is>
      </c>
      <c r="H24" t="inlineStr">
        <is>
          <t>http://hl7.org/fhir/StructureDefinition/CareTeam</t>
        </is>
      </c>
      <c r="I24" t="inlineStr">
        <is>
          <t>Indicates the current state of the care team.</t>
        </is>
      </c>
      <c r="J24" t="inlineStr">
        <is>
          <t>http://hl7.org/fhir/StructureDefinition/CareTeam</t>
        </is>
      </c>
      <c r="K24" t="inlineStr"/>
      <c r="L24" t="inlineStr">
        <is>
          <t>needs_new_semantic</t>
        </is>
      </c>
    </row>
    <row r="25">
      <c r="A25" t="inlineStr">
        <is>
          <t>admin_core</t>
        </is>
      </c>
      <c r="B25" t="inlineStr">
        <is>
          <t>R5</t>
        </is>
      </c>
      <c r="C25" t="inlineStr">
        <is>
          <t>CareTeam</t>
        </is>
      </c>
      <c r="D25" t="inlineStr">
        <is>
          <t>CareTeam.subject</t>
        </is>
      </c>
      <c r="E25" t="inlineStr">
        <is>
          <t>Reference</t>
        </is>
      </c>
      <c r="F25" t="inlineStr">
        <is>
          <t>0..1</t>
        </is>
      </c>
      <c r="G25" t="inlineStr">
        <is>
          <t>False</t>
        </is>
      </c>
      <c r="H25" t="inlineStr">
        <is>
          <t>http://hl7.org/fhir/StructureDefinition/CareTeam</t>
        </is>
      </c>
      <c r="I25" t="inlineStr">
        <is>
          <t>Identifies the patient or group whose intended care is handled by the team.</t>
        </is>
      </c>
      <c r="J25" t="inlineStr">
        <is>
          <t>http://hl7.org/fhir/StructureDefinition/CareTeam</t>
        </is>
      </c>
      <c r="K25" t="inlineStr"/>
      <c r="L25" t="inlineStr">
        <is>
          <t>needs_new_semantic</t>
        </is>
      </c>
    </row>
    <row r="26">
      <c r="A26" t="inlineStr">
        <is>
          <t>admin_core</t>
        </is>
      </c>
      <c r="B26" t="inlineStr">
        <is>
          <t>R5</t>
        </is>
      </c>
      <c r="C26" t="inlineStr">
        <is>
          <t>CareTeam</t>
        </is>
      </c>
      <c r="D26" t="inlineStr">
        <is>
          <t>CareTeam.telecom</t>
        </is>
      </c>
      <c r="E26" t="inlineStr">
        <is>
          <t>ContactPoint</t>
        </is>
      </c>
      <c r="F26" t="inlineStr">
        <is>
          <t>0..*</t>
        </is>
      </c>
      <c r="G26" t="inlineStr">
        <is>
          <t>False</t>
        </is>
      </c>
      <c r="H26" t="inlineStr">
        <is>
          <t>http://hl7.org/fhir/StructureDefinition/CareTeam</t>
        </is>
      </c>
      <c r="I26" t="inlineStr">
        <is>
          <t>A central contact detail for the care team (that applies to all members).</t>
        </is>
      </c>
      <c r="J26" t="inlineStr">
        <is>
          <t>http://hl7.org/fhir/StructureDefinition/CareTeam</t>
        </is>
      </c>
      <c r="K26" t="inlineStr"/>
      <c r="L26" t="inlineStr">
        <is>
          <t>needs_new_semantic</t>
        </is>
      </c>
    </row>
    <row r="27">
      <c r="A27" t="inlineStr">
        <is>
          <t>admin_core</t>
        </is>
      </c>
      <c r="B27" t="inlineStr">
        <is>
          <t>R5</t>
        </is>
      </c>
      <c r="C27" t="inlineStr">
        <is>
          <t>CareTeam</t>
        </is>
      </c>
      <c r="D27" t="inlineStr">
        <is>
          <t>CareTeam.text</t>
        </is>
      </c>
      <c r="E27" t="inlineStr">
        <is>
          <t>Narrative</t>
        </is>
      </c>
      <c r="F27" t="inlineStr">
        <is>
          <t>0..1</t>
        </is>
      </c>
      <c r="G27" t="inlineStr">
        <is>
          <t>False</t>
        </is>
      </c>
      <c r="H27" t="inlineStr">
        <is>
          <t>http://hl7.org/fhir/StructureDefinition/CareTeam</t>
        </is>
      </c>
      <c r="I27"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27" t="inlineStr">
        <is>
          <t>http://hl7.org/fhir/StructureDefinition/CareTeam</t>
        </is>
      </c>
      <c r="K27" t="inlineStr"/>
      <c r="L27" t="inlineStr">
        <is>
          <t>needs_new_semantic</t>
        </is>
      </c>
    </row>
    <row r="28">
      <c r="A28" t="inlineStr">
        <is>
          <t>admin_core</t>
        </is>
      </c>
      <c r="B28" t="inlineStr">
        <is>
          <t>R5</t>
        </is>
      </c>
      <c r="C28" t="inlineStr">
        <is>
          <t>Device</t>
        </is>
      </c>
      <c r="D28" t="inlineStr">
        <is>
          <t>Device.availabilityStatus</t>
        </is>
      </c>
      <c r="E28" t="inlineStr">
        <is>
          <t>CodeableConcept</t>
        </is>
      </c>
      <c r="F28" t="inlineStr">
        <is>
          <t>0..1</t>
        </is>
      </c>
      <c r="G28" t="inlineStr">
        <is>
          <t>False</t>
        </is>
      </c>
      <c r="H28" t="inlineStr">
        <is>
          <t>http://hl7.org/fhir/StructureDefinition/Device</t>
        </is>
      </c>
      <c r="I28" t="inlineStr">
        <is>
          <t>The availability of the device.</t>
        </is>
      </c>
      <c r="J28" t="inlineStr">
        <is>
          <t>http://hl7.org/fhir/StructureDefinition/Device</t>
        </is>
      </c>
      <c r="K28" t="inlineStr"/>
      <c r="L28" t="inlineStr">
        <is>
          <t>needs_new_semantic</t>
        </is>
      </c>
    </row>
    <row r="29">
      <c r="A29" t="inlineStr">
        <is>
          <t>admin_core</t>
        </is>
      </c>
      <c r="B29" t="inlineStr">
        <is>
          <t>R5</t>
        </is>
      </c>
      <c r="C29" t="inlineStr">
        <is>
          <t>Device</t>
        </is>
      </c>
      <c r="D29" t="inlineStr">
        <is>
          <t>Device.biologicalSourceEvent</t>
        </is>
      </c>
      <c r="E29" t="inlineStr">
        <is>
          <t>Identifier</t>
        </is>
      </c>
      <c r="F29" t="inlineStr">
        <is>
          <t>0..1</t>
        </is>
      </c>
      <c r="G29" t="inlineStr">
        <is>
          <t>False</t>
        </is>
      </c>
      <c r="H29" t="inlineStr">
        <is>
          <t>http://hl7.org/fhir/StructureDefinition/Device</t>
        </is>
      </c>
      <c r="I29" t="inlineStr">
        <is>
          <t>An identifier that supports traceability to the event during which material in this product from one or more biological entities was obtained or pooled.</t>
        </is>
      </c>
      <c r="J29" t="inlineStr">
        <is>
          <t>http://hl7.org/fhir/StructureDefinition/Device</t>
        </is>
      </c>
      <c r="K29" t="inlineStr"/>
      <c r="L29" t="inlineStr">
        <is>
          <t>needs_new_semantic</t>
        </is>
      </c>
    </row>
    <row r="30">
      <c r="A30" t="inlineStr">
        <is>
          <t>admin_core</t>
        </is>
      </c>
      <c r="B30" t="inlineStr">
        <is>
          <t>R5</t>
        </is>
      </c>
      <c r="C30" t="inlineStr">
        <is>
          <t>Device</t>
        </is>
      </c>
      <c r="D30" t="inlineStr">
        <is>
          <t>Device.category</t>
        </is>
      </c>
      <c r="E30" t="inlineStr">
        <is>
          <t>CodeableConcept</t>
        </is>
      </c>
      <c r="F30" t="inlineStr">
        <is>
          <t>0..*</t>
        </is>
      </c>
      <c r="G30" t="inlineStr">
        <is>
          <t>False</t>
        </is>
      </c>
      <c r="H30" t="inlineStr">
        <is>
          <t>http://hl7.org/fhir/StructureDefinition/Device</t>
        </is>
      </c>
      <c r="I30" t="inlineStr">
        <is>
          <t>Devices may be associated with one or more categories.</t>
        </is>
      </c>
      <c r="J30" t="inlineStr">
        <is>
          <t>http://hl7.org/fhir/StructureDefinition/Device</t>
        </is>
      </c>
      <c r="K30" t="inlineStr"/>
      <c r="L30" t="inlineStr">
        <is>
          <t>needs_new_semantic</t>
        </is>
      </c>
    </row>
    <row r="31">
      <c r="A31" t="inlineStr">
        <is>
          <t>admin_core</t>
        </is>
      </c>
      <c r="B31" t="inlineStr">
        <is>
          <t>R5</t>
        </is>
      </c>
      <c r="C31" t="inlineStr">
        <is>
          <t>Device</t>
        </is>
      </c>
      <c r="D31" t="inlineStr">
        <is>
          <t>Device.conformsTo</t>
        </is>
      </c>
      <c r="E31" t="inlineStr">
        <is>
          <t>BackboneElement</t>
        </is>
      </c>
      <c r="F31" t="inlineStr">
        <is>
          <t>0..*</t>
        </is>
      </c>
      <c r="G31" t="inlineStr">
        <is>
          <t>False</t>
        </is>
      </c>
      <c r="H31" t="inlineStr">
        <is>
          <t>http://hl7.org/fhir/StructureDefinition/Device</t>
        </is>
      </c>
      <c r="I31" t="inlineStr">
        <is>
          <t>Identifies the standards, specifications, or formal guidances for the capabilities supported by the device. The device may be certified as conformant to these specifications e.g., communication, performance, process, measurement, or specialization standards.</t>
        </is>
      </c>
      <c r="J31" t="inlineStr">
        <is>
          <t>http://hl7.org/fhir/StructureDefinition/Device</t>
        </is>
      </c>
      <c r="K31" t="inlineStr"/>
      <c r="L31" t="inlineStr">
        <is>
          <t>needs_new_semantic</t>
        </is>
      </c>
    </row>
    <row r="32">
      <c r="A32" t="inlineStr">
        <is>
          <t>admin_core</t>
        </is>
      </c>
      <c r="B32" t="inlineStr">
        <is>
          <t>R5</t>
        </is>
      </c>
      <c r="C32" t="inlineStr">
        <is>
          <t>Device</t>
        </is>
      </c>
      <c r="D32" t="inlineStr">
        <is>
          <t>Device.conformsTo.category</t>
        </is>
      </c>
      <c r="E32" t="inlineStr">
        <is>
          <t>CodeableConcept</t>
        </is>
      </c>
      <c r="F32" t="inlineStr">
        <is>
          <t>0..1</t>
        </is>
      </c>
      <c r="G32" t="inlineStr">
        <is>
          <t>False</t>
        </is>
      </c>
      <c r="H32" t="inlineStr">
        <is>
          <t>http://hl7.org/fhir/StructureDefinition/Device</t>
        </is>
      </c>
      <c r="I32" t="inlineStr">
        <is>
          <t>Describes the type of the standard, specification, or formal guidance.</t>
        </is>
      </c>
      <c r="J32" t="inlineStr">
        <is>
          <t>http://hl7.org/fhir/StructureDefinition/Device</t>
        </is>
      </c>
      <c r="K32" t="inlineStr"/>
      <c r="L32" t="inlineStr">
        <is>
          <t>needs_new_semantic</t>
        </is>
      </c>
    </row>
    <row r="33">
      <c r="A33" t="inlineStr">
        <is>
          <t>admin_core</t>
        </is>
      </c>
      <c r="B33" t="inlineStr">
        <is>
          <t>R5</t>
        </is>
      </c>
      <c r="C33" t="inlineStr">
        <is>
          <t>Device</t>
        </is>
      </c>
      <c r="D33" t="inlineStr">
        <is>
          <t>Device.conformsTo.extension</t>
        </is>
      </c>
      <c r="E33" t="inlineStr">
        <is>
          <t>Extension</t>
        </is>
      </c>
      <c r="F33" t="inlineStr">
        <is>
          <t>0..*</t>
        </is>
      </c>
      <c r="G33" t="inlineStr"/>
      <c r="H33" t="inlineStr">
        <is>
          <t>http://hl7.org/fhir/StructureDefinition/Device</t>
        </is>
      </c>
      <c r="I33"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33" t="inlineStr">
        <is>
          <t>http://hl7.org/fhir/StructureDefinition/Device</t>
        </is>
      </c>
      <c r="K33" t="inlineStr"/>
      <c r="L33" t="inlineStr">
        <is>
          <t>needs_new_semantic</t>
        </is>
      </c>
    </row>
    <row r="34">
      <c r="A34" t="inlineStr">
        <is>
          <t>admin_core</t>
        </is>
      </c>
      <c r="B34" t="inlineStr">
        <is>
          <t>R5</t>
        </is>
      </c>
      <c r="C34" t="inlineStr">
        <is>
          <t>Device</t>
        </is>
      </c>
      <c r="D34" t="inlineStr">
        <is>
          <t>Device.conformsTo.id</t>
        </is>
      </c>
      <c r="E34" t="inlineStr">
        <is>
          <t>http://hl7.org/fhirpath/System.String</t>
        </is>
      </c>
      <c r="F34" t="inlineStr">
        <is>
          <t>0..1</t>
        </is>
      </c>
      <c r="G34" t="inlineStr"/>
      <c r="H34" t="inlineStr">
        <is>
          <t>http://hl7.org/fhir/StructureDefinition/Device</t>
        </is>
      </c>
      <c r="I34" t="inlineStr">
        <is>
          <t>Unique id for the element within a resource (for internal references). This may be any string value that does not contain spaces.</t>
        </is>
      </c>
      <c r="J34" t="inlineStr">
        <is>
          <t>http://hl7.org/fhir/StructureDefinition/Device</t>
        </is>
      </c>
      <c r="K34" t="inlineStr"/>
      <c r="L34" t="inlineStr">
        <is>
          <t>needs_new_semantic</t>
        </is>
      </c>
    </row>
    <row r="35">
      <c r="A35" t="inlineStr">
        <is>
          <t>admin_core</t>
        </is>
      </c>
      <c r="B35" t="inlineStr">
        <is>
          <t>R5</t>
        </is>
      </c>
      <c r="C35" t="inlineStr">
        <is>
          <t>Device</t>
        </is>
      </c>
      <c r="D35" t="inlineStr">
        <is>
          <t>Device.conformsTo.modifierExtension</t>
        </is>
      </c>
      <c r="E35" t="inlineStr">
        <is>
          <t>Extension</t>
        </is>
      </c>
      <c r="F35" t="inlineStr">
        <is>
          <t>0..*</t>
        </is>
      </c>
      <c r="G35" t="inlineStr"/>
      <c r="H35" t="inlineStr">
        <is>
          <t>http://hl7.org/fhir/StructureDefinition/Device</t>
        </is>
      </c>
      <c r="I35"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35" t="inlineStr">
        <is>
          <t>http://hl7.org/fhir/StructureDefinition/Device</t>
        </is>
      </c>
      <c r="K35" t="inlineStr"/>
      <c r="L35" t="inlineStr">
        <is>
          <t>needs_new_semantic</t>
        </is>
      </c>
    </row>
    <row r="36">
      <c r="A36" t="inlineStr">
        <is>
          <t>admin_core</t>
        </is>
      </c>
      <c r="B36" t="inlineStr">
        <is>
          <t>R5</t>
        </is>
      </c>
      <c r="C36" t="inlineStr">
        <is>
          <t>Device</t>
        </is>
      </c>
      <c r="D36" t="inlineStr">
        <is>
          <t>Device.conformsTo.specification</t>
        </is>
      </c>
      <c r="E36" t="inlineStr">
        <is>
          <t>CodeableConcept</t>
        </is>
      </c>
      <c r="F36" t="inlineStr">
        <is>
          <t>1..1</t>
        </is>
      </c>
      <c r="G36" t="inlineStr">
        <is>
          <t>False</t>
        </is>
      </c>
      <c r="H36" t="inlineStr">
        <is>
          <t>http://hl7.org/fhir/StructureDefinition/Device</t>
        </is>
      </c>
      <c r="I36" t="inlineStr">
        <is>
          <t>Code that identifies the specific standard, specification, protocol, formal guidance, regulation, legislation, or certification scheme to which the device adheres.</t>
        </is>
      </c>
      <c r="J36" t="inlineStr">
        <is>
          <t>http://hl7.org/fhir/StructureDefinition/Device</t>
        </is>
      </c>
      <c r="K36" t="inlineStr"/>
      <c r="L36" t="inlineStr">
        <is>
          <t>needs_new_semantic</t>
        </is>
      </c>
    </row>
    <row r="37">
      <c r="A37" t="inlineStr">
        <is>
          <t>admin_core</t>
        </is>
      </c>
      <c r="B37" t="inlineStr">
        <is>
          <t>R5</t>
        </is>
      </c>
      <c r="C37" t="inlineStr">
        <is>
          <t>Device</t>
        </is>
      </c>
      <c r="D37" t="inlineStr">
        <is>
          <t>Device.conformsTo.version</t>
        </is>
      </c>
      <c r="E37" t="inlineStr">
        <is>
          <t>string</t>
        </is>
      </c>
      <c r="F37" t="inlineStr">
        <is>
          <t>0..1</t>
        </is>
      </c>
      <c r="G37" t="inlineStr">
        <is>
          <t>False</t>
        </is>
      </c>
      <c r="H37" t="inlineStr">
        <is>
          <t>http://hl7.org/fhir/StructureDefinition/Device</t>
        </is>
      </c>
      <c r="I37" t="inlineStr">
        <is>
          <t>Identifies the specific form or variant of the standard, specification, or formal guidance. This may be a 'version number', release, document edition, publication year, or other label.</t>
        </is>
      </c>
      <c r="J37" t="inlineStr">
        <is>
          <t>http://hl7.org/fhir/StructureDefinition/Device</t>
        </is>
      </c>
      <c r="K37" t="inlineStr"/>
      <c r="L37" t="inlineStr">
        <is>
          <t>needs_new_semantic</t>
        </is>
      </c>
    </row>
    <row r="38">
      <c r="A38" t="inlineStr">
        <is>
          <t>admin_core</t>
        </is>
      </c>
      <c r="B38" t="inlineStr">
        <is>
          <t>R5</t>
        </is>
      </c>
      <c r="C38" t="inlineStr">
        <is>
          <t>Device</t>
        </is>
      </c>
      <c r="D38" t="inlineStr">
        <is>
          <t>Device.contact</t>
        </is>
      </c>
      <c r="E38" t="inlineStr">
        <is>
          <t>ContactPoint</t>
        </is>
      </c>
      <c r="F38" t="inlineStr">
        <is>
          <t>0..*</t>
        </is>
      </c>
      <c r="G38" t="inlineStr">
        <is>
          <t>False</t>
        </is>
      </c>
      <c r="H38" t="inlineStr">
        <is>
          <t>http://hl7.org/fhir/StructureDefinition/Device</t>
        </is>
      </c>
      <c r="I38" t="inlineStr">
        <is>
          <t>Contact details for an organization or a particular human that is responsible for the device.</t>
        </is>
      </c>
      <c r="J38" t="inlineStr">
        <is>
          <t>http://hl7.org/fhir/StructureDefinition/Device</t>
        </is>
      </c>
      <c r="K38" t="inlineStr"/>
      <c r="L38" t="inlineStr">
        <is>
          <t>needs_new_semantic</t>
        </is>
      </c>
    </row>
    <row r="39">
      <c r="A39" t="inlineStr">
        <is>
          <t>admin_core</t>
        </is>
      </c>
      <c r="B39" t="inlineStr">
        <is>
          <t>R5</t>
        </is>
      </c>
      <c r="C39" t="inlineStr">
        <is>
          <t>Device</t>
        </is>
      </c>
      <c r="D39" t="inlineStr">
        <is>
          <t>Device.contained</t>
        </is>
      </c>
      <c r="E39" t="inlineStr">
        <is>
          <t>Resource</t>
        </is>
      </c>
      <c r="F39" t="inlineStr">
        <is>
          <t>0..*</t>
        </is>
      </c>
      <c r="G39" t="inlineStr">
        <is>
          <t>False</t>
        </is>
      </c>
      <c r="H39" t="inlineStr">
        <is>
          <t>http://hl7.org/fhir/StructureDefinition/Device</t>
        </is>
      </c>
      <c r="I39"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39" t="inlineStr">
        <is>
          <t>http://hl7.org/fhir/StructureDefinition/Device</t>
        </is>
      </c>
      <c r="K39" t="inlineStr"/>
      <c r="L39" t="inlineStr">
        <is>
          <t>needs_new_semantic</t>
        </is>
      </c>
    </row>
    <row r="40">
      <c r="A40" t="inlineStr">
        <is>
          <t>admin_core</t>
        </is>
      </c>
      <c r="B40" t="inlineStr">
        <is>
          <t>R5</t>
        </is>
      </c>
      <c r="C40" t="inlineStr">
        <is>
          <t>Device</t>
        </is>
      </c>
      <c r="D40" t="inlineStr">
        <is>
          <t>Device.cycle</t>
        </is>
      </c>
      <c r="E40" t="inlineStr">
        <is>
          <t>Count</t>
        </is>
      </c>
      <c r="F40" t="inlineStr">
        <is>
          <t>0..1</t>
        </is>
      </c>
      <c r="G40" t="inlineStr">
        <is>
          <t>False</t>
        </is>
      </c>
      <c r="H40" t="inlineStr">
        <is>
          <t>http://hl7.org/fhir/StructureDefinition/Device</t>
        </is>
      </c>
      <c r="I40" t="inlineStr">
        <is>
          <t>The series of occurrences that repeats during the operation of the device.</t>
        </is>
      </c>
      <c r="J40" t="inlineStr">
        <is>
          <t>http://hl7.org/fhir/StructureDefinition/Device</t>
        </is>
      </c>
      <c r="K40" t="inlineStr"/>
      <c r="L40" t="inlineStr">
        <is>
          <t>needs_new_semantic</t>
        </is>
      </c>
    </row>
    <row r="41">
      <c r="A41" t="inlineStr">
        <is>
          <t>admin_core</t>
        </is>
      </c>
      <c r="B41" t="inlineStr">
        <is>
          <t>R5</t>
        </is>
      </c>
      <c r="C41" t="inlineStr">
        <is>
          <t>Device</t>
        </is>
      </c>
      <c r="D41" t="inlineStr">
        <is>
          <t>Device.definition</t>
        </is>
      </c>
      <c r="E41" t="inlineStr">
        <is>
          <t>CodeableReference</t>
        </is>
      </c>
      <c r="F41" t="inlineStr">
        <is>
          <t>0..1</t>
        </is>
      </c>
      <c r="G41" t="inlineStr">
        <is>
          <t>False</t>
        </is>
      </c>
      <c r="H41" t="inlineStr">
        <is>
          <t>http://hl7.org/fhir/StructureDefinition/Device</t>
        </is>
      </c>
      <c r="I41" t="inlineStr">
        <is>
          <t>The reference to the definition for the device.</t>
        </is>
      </c>
      <c r="J41" t="inlineStr">
        <is>
          <t>http://hl7.org/fhir/StructureDefinition/Device</t>
        </is>
      </c>
      <c r="K41" t="inlineStr"/>
      <c r="L41" t="inlineStr">
        <is>
          <t>needs_new_semantic</t>
        </is>
      </c>
    </row>
    <row r="42">
      <c r="A42" t="inlineStr">
        <is>
          <t>admin_core</t>
        </is>
      </c>
      <c r="B42" t="inlineStr">
        <is>
          <t>R5</t>
        </is>
      </c>
      <c r="C42" t="inlineStr">
        <is>
          <t>Device</t>
        </is>
      </c>
      <c r="D42" t="inlineStr">
        <is>
          <t>Device.displayName</t>
        </is>
      </c>
      <c r="E42" t="inlineStr">
        <is>
          <t>string</t>
        </is>
      </c>
      <c r="F42" t="inlineStr">
        <is>
          <t>0..1</t>
        </is>
      </c>
      <c r="G42" t="inlineStr">
        <is>
          <t>False</t>
        </is>
      </c>
      <c r="H42" t="inlineStr">
        <is>
          <t>http://hl7.org/fhir/StructureDefinition/Device</t>
        </is>
      </c>
      <c r="I42" t="inlineStr">
        <is>
          <t>The name used to display by default when the device is referenced. Based on intent of use by the resource creator, this may reflect one of the names in Device.name, or may be another simple name.</t>
        </is>
      </c>
      <c r="J42" t="inlineStr">
        <is>
          <t>http://hl7.org/fhir/StructureDefinition/Device</t>
        </is>
      </c>
      <c r="K42" t="inlineStr"/>
      <c r="L42" t="inlineStr">
        <is>
          <t>needs_new_semantic</t>
        </is>
      </c>
    </row>
    <row r="43">
      <c r="A43" t="inlineStr">
        <is>
          <t>admin_core</t>
        </is>
      </c>
      <c r="B43" t="inlineStr">
        <is>
          <t>R5</t>
        </is>
      </c>
      <c r="C43" t="inlineStr">
        <is>
          <t>Device</t>
        </is>
      </c>
      <c r="D43" t="inlineStr">
        <is>
          <t>Device.duration</t>
        </is>
      </c>
      <c r="E43" t="inlineStr">
        <is>
          <t>Duration</t>
        </is>
      </c>
      <c r="F43" t="inlineStr">
        <is>
          <t>0..1</t>
        </is>
      </c>
      <c r="G43" t="inlineStr">
        <is>
          <t>False</t>
        </is>
      </c>
      <c r="H43" t="inlineStr">
        <is>
          <t>http://hl7.org/fhir/StructureDefinition/Device</t>
        </is>
      </c>
      <c r="I43" t="inlineStr">
        <is>
          <t>A measurement of time during the device's operation (e.g., days, hours, mins, etc.).</t>
        </is>
      </c>
      <c r="J43" t="inlineStr">
        <is>
          <t>http://hl7.org/fhir/StructureDefinition/Device</t>
        </is>
      </c>
      <c r="K43" t="inlineStr"/>
      <c r="L43" t="inlineStr">
        <is>
          <t>needs_new_semantic</t>
        </is>
      </c>
    </row>
    <row r="44">
      <c r="A44" t="inlineStr">
        <is>
          <t>admin_core</t>
        </is>
      </c>
      <c r="B44" t="inlineStr">
        <is>
          <t>R5</t>
        </is>
      </c>
      <c r="C44" t="inlineStr">
        <is>
          <t>Device</t>
        </is>
      </c>
      <c r="D44" t="inlineStr">
        <is>
          <t>Device.endpoint</t>
        </is>
      </c>
      <c r="E44" t="inlineStr">
        <is>
          <t>Reference</t>
        </is>
      </c>
      <c r="F44" t="inlineStr">
        <is>
          <t>0..*</t>
        </is>
      </c>
      <c r="G44" t="inlineStr">
        <is>
          <t>False</t>
        </is>
      </c>
      <c r="H44" t="inlineStr">
        <is>
          <t>http://hl7.org/fhir/StructureDefinition/Device</t>
        </is>
      </c>
      <c r="I44" t="inlineStr">
        <is>
          <t>Technical endpoints providing access to services provided by the device defined at this resource.</t>
        </is>
      </c>
      <c r="J44" t="inlineStr">
        <is>
          <t>http://hl7.org/fhir/StructureDefinition/Device</t>
        </is>
      </c>
      <c r="K44" t="inlineStr"/>
      <c r="L44" t="inlineStr">
        <is>
          <t>needs_new_semantic</t>
        </is>
      </c>
    </row>
    <row r="45">
      <c r="A45" t="inlineStr">
        <is>
          <t>admin_core</t>
        </is>
      </c>
      <c r="B45" t="inlineStr">
        <is>
          <t>R5</t>
        </is>
      </c>
      <c r="C45" t="inlineStr">
        <is>
          <t>Device</t>
        </is>
      </c>
      <c r="D45" t="inlineStr">
        <is>
          <t>Device.expirationDate</t>
        </is>
      </c>
      <c r="E45" t="inlineStr">
        <is>
          <t>dateTime</t>
        </is>
      </c>
      <c r="F45" t="inlineStr">
        <is>
          <t>0..1</t>
        </is>
      </c>
      <c r="G45" t="inlineStr">
        <is>
          <t>False</t>
        </is>
      </c>
      <c r="H45" t="inlineStr">
        <is>
          <t>http://hl7.org/fhir/StructureDefinition/Device</t>
        </is>
      </c>
      <c r="I45" t="inlineStr">
        <is>
          <t>The date and time beyond which this device is no longer valid or should not be used (if applicable).</t>
        </is>
      </c>
      <c r="J45" t="inlineStr">
        <is>
          <t>http://hl7.org/fhir/StructureDefinition/Device</t>
        </is>
      </c>
      <c r="K45" t="inlineStr"/>
      <c r="L45" t="inlineStr">
        <is>
          <t>needs_new_semantic</t>
        </is>
      </c>
    </row>
    <row r="46">
      <c r="A46" t="inlineStr">
        <is>
          <t>admin_core</t>
        </is>
      </c>
      <c r="B46" t="inlineStr">
        <is>
          <t>R5</t>
        </is>
      </c>
      <c r="C46" t="inlineStr">
        <is>
          <t>Device</t>
        </is>
      </c>
      <c r="D46" t="inlineStr">
        <is>
          <t>Device.extension</t>
        </is>
      </c>
      <c r="E46" t="inlineStr">
        <is>
          <t>Extension</t>
        </is>
      </c>
      <c r="F46" t="inlineStr">
        <is>
          <t>0..*</t>
        </is>
      </c>
      <c r="G46" t="inlineStr">
        <is>
          <t>False</t>
        </is>
      </c>
      <c r="H46" t="inlineStr">
        <is>
          <t>http://hl7.org/fhir/StructureDefinition/Device</t>
        </is>
      </c>
      <c r="I46"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46" t="inlineStr">
        <is>
          <t>http://hl7.org/fhir/StructureDefinition/Device</t>
        </is>
      </c>
      <c r="K46" t="inlineStr"/>
      <c r="L46" t="inlineStr">
        <is>
          <t>needs_new_semantic</t>
        </is>
      </c>
    </row>
    <row r="47">
      <c r="A47" t="inlineStr">
        <is>
          <t>admin_core</t>
        </is>
      </c>
      <c r="B47" t="inlineStr">
        <is>
          <t>R5</t>
        </is>
      </c>
      <c r="C47" t="inlineStr">
        <is>
          <t>Device</t>
        </is>
      </c>
      <c r="D47" t="inlineStr">
        <is>
          <t>Device.gateway</t>
        </is>
      </c>
      <c r="E47" t="inlineStr">
        <is>
          <t>CodeableReference</t>
        </is>
      </c>
      <c r="F47" t="inlineStr">
        <is>
          <t>0..*</t>
        </is>
      </c>
      <c r="G47" t="inlineStr">
        <is>
          <t>False</t>
        </is>
      </c>
      <c r="H47" t="inlineStr">
        <is>
          <t>http://hl7.org/fhir/StructureDefinition/Device</t>
        </is>
      </c>
      <c r="I47" t="inlineStr">
        <is>
          <t>The linked device acting as a communication controller, data collector, translator, or concentrator for the current device (e.g., mobile phone application that relays a blood pressure device's data).</t>
        </is>
      </c>
      <c r="J47" t="inlineStr">
        <is>
          <t>http://hl7.org/fhir/StructureDefinition/Device</t>
        </is>
      </c>
      <c r="K47" t="inlineStr"/>
      <c r="L47" t="inlineStr">
        <is>
          <t>needs_new_semantic</t>
        </is>
      </c>
    </row>
    <row r="48">
      <c r="A48" t="inlineStr">
        <is>
          <t>admin_core</t>
        </is>
      </c>
      <c r="B48" t="inlineStr">
        <is>
          <t>R5</t>
        </is>
      </c>
      <c r="C48" t="inlineStr">
        <is>
          <t>Device</t>
        </is>
      </c>
      <c r="D48" t="inlineStr">
        <is>
          <t>Device.id</t>
        </is>
      </c>
      <c r="E48" t="inlineStr">
        <is>
          <t>http://hl7.org/fhirpath/System.String</t>
        </is>
      </c>
      <c r="F48" t="inlineStr">
        <is>
          <t>0..1</t>
        </is>
      </c>
      <c r="G48" t="inlineStr">
        <is>
          <t>False</t>
        </is>
      </c>
      <c r="H48" t="inlineStr">
        <is>
          <t>http://hl7.org/fhir/StructureDefinition/Device</t>
        </is>
      </c>
      <c r="I48" t="inlineStr">
        <is>
          <t>The logical id of the resource, as used in the URL for the resource. Once assigned, this value never changes.</t>
        </is>
      </c>
      <c r="J48" t="inlineStr">
        <is>
          <t>http://hl7.org/fhir/StructureDefinition/Device</t>
        </is>
      </c>
      <c r="K48" t="inlineStr"/>
      <c r="L48" t="inlineStr">
        <is>
          <t>needs_new_semantic</t>
        </is>
      </c>
    </row>
    <row r="49">
      <c r="A49" t="inlineStr">
        <is>
          <t>admin_core</t>
        </is>
      </c>
      <c r="B49" t="inlineStr">
        <is>
          <t>R5</t>
        </is>
      </c>
      <c r="C49" t="inlineStr">
        <is>
          <t>Device</t>
        </is>
      </c>
      <c r="D49" t="inlineStr">
        <is>
          <t>Device.identifier</t>
        </is>
      </c>
      <c r="E49" t="inlineStr">
        <is>
          <t>Identifier</t>
        </is>
      </c>
      <c r="F49" t="inlineStr">
        <is>
          <t>0..*</t>
        </is>
      </c>
      <c r="G49" t="inlineStr">
        <is>
          <t>False</t>
        </is>
      </c>
      <c r="H49" t="inlineStr">
        <is>
          <t>http://hl7.org/fhir/StructureDefinition/Device</t>
        </is>
      </c>
      <c r="I49" t="inlineStr">
        <is>
          <t>Unique instance identifiers assigned to a device by manufacturers other organizations or owners.</t>
        </is>
      </c>
      <c r="J49" t="inlineStr">
        <is>
          <t>http://hl7.org/fhir/StructureDefinition/Device</t>
        </is>
      </c>
      <c r="K49" t="inlineStr"/>
      <c r="L49" t="inlineStr">
        <is>
          <t>needs_new_semantic</t>
        </is>
      </c>
    </row>
    <row r="50">
      <c r="A50" t="inlineStr">
        <is>
          <t>admin_core</t>
        </is>
      </c>
      <c r="B50" t="inlineStr">
        <is>
          <t>R5</t>
        </is>
      </c>
      <c r="C50" t="inlineStr">
        <is>
          <t>Device</t>
        </is>
      </c>
      <c r="D50" t="inlineStr">
        <is>
          <t>Device.implicitRules</t>
        </is>
      </c>
      <c r="E50" t="inlineStr">
        <is>
          <t>uri</t>
        </is>
      </c>
      <c r="F50" t="inlineStr">
        <is>
          <t>0..1</t>
        </is>
      </c>
      <c r="G50" t="inlineStr">
        <is>
          <t>False</t>
        </is>
      </c>
      <c r="H50" t="inlineStr">
        <is>
          <t>http://hl7.org/fhir/StructureDefinition/Device</t>
        </is>
      </c>
      <c r="I50"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50" t="inlineStr">
        <is>
          <t>http://hl7.org/fhir/StructureDefinition/Device</t>
        </is>
      </c>
      <c r="K50" t="inlineStr"/>
      <c r="L50" t="inlineStr">
        <is>
          <t>needs_new_semantic</t>
        </is>
      </c>
    </row>
    <row r="51">
      <c r="A51" t="inlineStr">
        <is>
          <t>admin_core</t>
        </is>
      </c>
      <c r="B51" t="inlineStr">
        <is>
          <t>R5</t>
        </is>
      </c>
      <c r="C51" t="inlineStr">
        <is>
          <t>Device</t>
        </is>
      </c>
      <c r="D51" t="inlineStr">
        <is>
          <t>Device.language</t>
        </is>
      </c>
      <c r="E51" t="inlineStr">
        <is>
          <t>code</t>
        </is>
      </c>
      <c r="F51" t="inlineStr">
        <is>
          <t>0..1</t>
        </is>
      </c>
      <c r="G51" t="inlineStr">
        <is>
          <t>False</t>
        </is>
      </c>
      <c r="H51" t="inlineStr">
        <is>
          <t>http://hl7.org/fhir/StructureDefinition/Device</t>
        </is>
      </c>
      <c r="I51" t="inlineStr">
        <is>
          <t>The base language in which the resource is written.</t>
        </is>
      </c>
      <c r="J51" t="inlineStr">
        <is>
          <t>http://hl7.org/fhir/StructureDefinition/Device</t>
        </is>
      </c>
      <c r="K51" t="inlineStr"/>
      <c r="L51" t="inlineStr">
        <is>
          <t>needs_new_semantic</t>
        </is>
      </c>
    </row>
    <row r="52">
      <c r="A52" t="inlineStr">
        <is>
          <t>admin_core</t>
        </is>
      </c>
      <c r="B52" t="inlineStr">
        <is>
          <t>R5</t>
        </is>
      </c>
      <c r="C52" t="inlineStr">
        <is>
          <t>Device</t>
        </is>
      </c>
      <c r="D52" t="inlineStr">
        <is>
          <t>Device.location</t>
        </is>
      </c>
      <c r="E52" t="inlineStr">
        <is>
          <t>Reference</t>
        </is>
      </c>
      <c r="F52" t="inlineStr">
        <is>
          <t>0..1</t>
        </is>
      </c>
      <c r="G52" t="inlineStr">
        <is>
          <t>False</t>
        </is>
      </c>
      <c r="H52" t="inlineStr">
        <is>
          <t>http://hl7.org/fhir/StructureDefinition/Device</t>
        </is>
      </c>
      <c r="I52" t="inlineStr">
        <is>
          <t>The place where the device can be found.</t>
        </is>
      </c>
      <c r="J52" t="inlineStr">
        <is>
          <t>http://hl7.org/fhir/StructureDefinition/Device</t>
        </is>
      </c>
      <c r="K52" t="inlineStr"/>
      <c r="L52" t="inlineStr">
        <is>
          <t>needs_new_semantic</t>
        </is>
      </c>
    </row>
    <row r="53">
      <c r="A53" t="inlineStr">
        <is>
          <t>admin_core</t>
        </is>
      </c>
      <c r="B53" t="inlineStr">
        <is>
          <t>R5</t>
        </is>
      </c>
      <c r="C53" t="inlineStr">
        <is>
          <t>Device</t>
        </is>
      </c>
      <c r="D53" t="inlineStr">
        <is>
          <t>Device.lotNumber</t>
        </is>
      </c>
      <c r="E53" t="inlineStr">
        <is>
          <t>string</t>
        </is>
      </c>
      <c r="F53" t="inlineStr">
        <is>
          <t>0..1</t>
        </is>
      </c>
      <c r="G53" t="inlineStr">
        <is>
          <t>False</t>
        </is>
      </c>
      <c r="H53" t="inlineStr">
        <is>
          <t>http://hl7.org/fhir/StructureDefinition/Device</t>
        </is>
      </c>
      <c r="I53" t="inlineStr">
        <is>
          <t>Lot number assigned by the manufacturer.</t>
        </is>
      </c>
      <c r="J53" t="inlineStr">
        <is>
          <t>http://hl7.org/fhir/StructureDefinition/Device</t>
        </is>
      </c>
      <c r="K53" t="inlineStr"/>
      <c r="L53" t="inlineStr">
        <is>
          <t>needs_new_semantic</t>
        </is>
      </c>
    </row>
    <row r="54">
      <c r="A54" t="inlineStr">
        <is>
          <t>admin_core</t>
        </is>
      </c>
      <c r="B54" t="inlineStr">
        <is>
          <t>R5</t>
        </is>
      </c>
      <c r="C54" t="inlineStr">
        <is>
          <t>Device</t>
        </is>
      </c>
      <c r="D54" t="inlineStr">
        <is>
          <t>Device.manufactureDate</t>
        </is>
      </c>
      <c r="E54" t="inlineStr">
        <is>
          <t>dateTime</t>
        </is>
      </c>
      <c r="F54" t="inlineStr">
        <is>
          <t>0..1</t>
        </is>
      </c>
      <c r="G54" t="inlineStr">
        <is>
          <t>False</t>
        </is>
      </c>
      <c r="H54" t="inlineStr">
        <is>
          <t>http://hl7.org/fhir/StructureDefinition/Device</t>
        </is>
      </c>
      <c r="I54" t="inlineStr">
        <is>
          <t>The date and time when the device was manufactured.</t>
        </is>
      </c>
      <c r="J54" t="inlineStr">
        <is>
          <t>http://hl7.org/fhir/StructureDefinition/Device</t>
        </is>
      </c>
      <c r="K54" t="inlineStr"/>
      <c r="L54" t="inlineStr">
        <is>
          <t>needs_new_semantic</t>
        </is>
      </c>
    </row>
    <row r="55">
      <c r="A55" t="inlineStr">
        <is>
          <t>admin_core</t>
        </is>
      </c>
      <c r="B55" t="inlineStr">
        <is>
          <t>R5</t>
        </is>
      </c>
      <c r="C55" t="inlineStr">
        <is>
          <t>Device</t>
        </is>
      </c>
      <c r="D55" t="inlineStr">
        <is>
          <t>Device.manufacturer</t>
        </is>
      </c>
      <c r="E55" t="inlineStr">
        <is>
          <t>string</t>
        </is>
      </c>
      <c r="F55" t="inlineStr">
        <is>
          <t>0..1</t>
        </is>
      </c>
      <c r="G55" t="inlineStr">
        <is>
          <t>False</t>
        </is>
      </c>
      <c r="H55" t="inlineStr">
        <is>
          <t>http://hl7.org/fhir/StructureDefinition/Device</t>
        </is>
      </c>
      <c r="I55" t="inlineStr">
        <is>
          <t>A name of the manufacturer or entity legally responsible for the device.</t>
        </is>
      </c>
      <c r="J55" t="inlineStr">
        <is>
          <t>http://hl7.org/fhir/StructureDefinition/Device</t>
        </is>
      </c>
      <c r="K55" t="inlineStr"/>
      <c r="L55" t="inlineStr">
        <is>
          <t>needs_new_semantic</t>
        </is>
      </c>
    </row>
    <row r="56">
      <c r="A56" t="inlineStr">
        <is>
          <t>admin_core</t>
        </is>
      </c>
      <c r="B56" t="inlineStr">
        <is>
          <t>R5</t>
        </is>
      </c>
      <c r="C56" t="inlineStr">
        <is>
          <t>Device</t>
        </is>
      </c>
      <c r="D56" t="inlineStr">
        <is>
          <t>Device.meta</t>
        </is>
      </c>
      <c r="E56" t="inlineStr">
        <is>
          <t>Meta</t>
        </is>
      </c>
      <c r="F56" t="inlineStr">
        <is>
          <t>0..1</t>
        </is>
      </c>
      <c r="G56" t="inlineStr">
        <is>
          <t>False</t>
        </is>
      </c>
      <c r="H56" t="inlineStr">
        <is>
          <t>http://hl7.org/fhir/StructureDefinition/Device</t>
        </is>
      </c>
      <c r="I56" t="inlineStr">
        <is>
          <t>The metadata about the resource. This is content that is maintained by the infrastructure. Changes to the content might not always be associated with version changes to the resource.</t>
        </is>
      </c>
      <c r="J56" t="inlineStr">
        <is>
          <t>http://hl7.org/fhir/StructureDefinition/Device</t>
        </is>
      </c>
      <c r="K56" t="inlineStr"/>
      <c r="L56" t="inlineStr">
        <is>
          <t>needs_new_semantic</t>
        </is>
      </c>
    </row>
    <row r="57">
      <c r="A57" t="inlineStr">
        <is>
          <t>admin_core</t>
        </is>
      </c>
      <c r="B57" t="inlineStr">
        <is>
          <t>R5</t>
        </is>
      </c>
      <c r="C57" t="inlineStr">
        <is>
          <t>Device</t>
        </is>
      </c>
      <c r="D57" t="inlineStr">
        <is>
          <t>Device.mode</t>
        </is>
      </c>
      <c r="E57" t="inlineStr">
        <is>
          <t>CodeableConcept</t>
        </is>
      </c>
      <c r="F57" t="inlineStr">
        <is>
          <t>0..1</t>
        </is>
      </c>
      <c r="G57" t="inlineStr">
        <is>
          <t>False</t>
        </is>
      </c>
      <c r="H57" t="inlineStr">
        <is>
          <t>http://hl7.org/fhir/StructureDefinition/Device</t>
        </is>
      </c>
      <c r="I57" t="inlineStr">
        <is>
          <t>The designated condition for performing a task with the device.</t>
        </is>
      </c>
      <c r="J57" t="inlineStr">
        <is>
          <t>http://hl7.org/fhir/StructureDefinition/Device</t>
        </is>
      </c>
      <c r="K57" t="inlineStr"/>
      <c r="L57" t="inlineStr">
        <is>
          <t>needs_new_semantic</t>
        </is>
      </c>
    </row>
    <row r="58">
      <c r="A58" t="inlineStr">
        <is>
          <t>admin_core</t>
        </is>
      </c>
      <c r="B58" t="inlineStr">
        <is>
          <t>R5</t>
        </is>
      </c>
      <c r="C58" t="inlineStr">
        <is>
          <t>Device</t>
        </is>
      </c>
      <c r="D58" t="inlineStr">
        <is>
          <t>Device.modelNumber</t>
        </is>
      </c>
      <c r="E58" t="inlineStr">
        <is>
          <t>string</t>
        </is>
      </c>
      <c r="F58" t="inlineStr">
        <is>
          <t>0..1</t>
        </is>
      </c>
      <c r="G58" t="inlineStr">
        <is>
          <t>False</t>
        </is>
      </c>
      <c r="H58" t="inlineStr">
        <is>
          <t>http://hl7.org/fhir/StructureDefinition/Device</t>
        </is>
      </c>
      <c r="I58" t="inlineStr">
        <is>
          <t>The manufacturer's model number for the device.</t>
        </is>
      </c>
      <c r="J58" t="inlineStr">
        <is>
          <t>http://hl7.org/fhir/StructureDefinition/Device</t>
        </is>
      </c>
      <c r="K58" t="inlineStr"/>
      <c r="L58" t="inlineStr">
        <is>
          <t>needs_new_semantic</t>
        </is>
      </c>
    </row>
    <row r="59">
      <c r="A59" t="inlineStr">
        <is>
          <t>admin_core</t>
        </is>
      </c>
      <c r="B59" t="inlineStr">
        <is>
          <t>R5</t>
        </is>
      </c>
      <c r="C59" t="inlineStr">
        <is>
          <t>Device</t>
        </is>
      </c>
      <c r="D59" t="inlineStr">
        <is>
          <t>Device.modifierExtension</t>
        </is>
      </c>
      <c r="E59" t="inlineStr">
        <is>
          <t>Extension</t>
        </is>
      </c>
      <c r="F59" t="inlineStr">
        <is>
          <t>0..*</t>
        </is>
      </c>
      <c r="G59" t="inlineStr">
        <is>
          <t>False</t>
        </is>
      </c>
      <c r="H59" t="inlineStr">
        <is>
          <t>http://hl7.org/fhir/StructureDefinition/Device</t>
        </is>
      </c>
      <c r="I59"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59" t="inlineStr">
        <is>
          <t>http://hl7.org/fhir/StructureDefinition/Device</t>
        </is>
      </c>
      <c r="K59" t="inlineStr"/>
      <c r="L59" t="inlineStr">
        <is>
          <t>needs_new_semantic</t>
        </is>
      </c>
    </row>
    <row r="60">
      <c r="A60" t="inlineStr">
        <is>
          <t>admin_core</t>
        </is>
      </c>
      <c r="B60" t="inlineStr">
        <is>
          <t>R5</t>
        </is>
      </c>
      <c r="C60" t="inlineStr">
        <is>
          <t>Device</t>
        </is>
      </c>
      <c r="D60" t="inlineStr">
        <is>
          <t>Device.name</t>
        </is>
      </c>
      <c r="E60" t="inlineStr">
        <is>
          <t>BackboneElement</t>
        </is>
      </c>
      <c r="F60" t="inlineStr">
        <is>
          <t>0..*</t>
        </is>
      </c>
      <c r="G60" t="inlineStr">
        <is>
          <t>False</t>
        </is>
      </c>
      <c r="H60" t="inlineStr">
        <is>
          <t>http://hl7.org/fhir/StructureDefinition/Device</t>
        </is>
      </c>
      <c r="I60" t="inlineStr">
        <is>
          <t>This represents the manufacturer's name of the device as provided by the device, from a UDI label, or by a person describing the Device.  This typically would be used when a person provides the name(s) or when the device represents one of the names available from DeviceDefinition.</t>
        </is>
      </c>
      <c r="J60" t="inlineStr">
        <is>
          <t>http://hl7.org/fhir/StructureDefinition/Device</t>
        </is>
      </c>
      <c r="K60" t="inlineStr"/>
      <c r="L60" t="inlineStr">
        <is>
          <t>needs_new_semantic</t>
        </is>
      </c>
    </row>
    <row r="61">
      <c r="A61" t="inlineStr">
        <is>
          <t>admin_core</t>
        </is>
      </c>
      <c r="B61" t="inlineStr">
        <is>
          <t>R5</t>
        </is>
      </c>
      <c r="C61" t="inlineStr">
        <is>
          <t>Device</t>
        </is>
      </c>
      <c r="D61" t="inlineStr">
        <is>
          <t>Device.name.display</t>
        </is>
      </c>
      <c r="E61" t="inlineStr">
        <is>
          <t>boolean</t>
        </is>
      </c>
      <c r="F61" t="inlineStr">
        <is>
          <t>0..1</t>
        </is>
      </c>
      <c r="G61" t="inlineStr">
        <is>
          <t>False</t>
        </is>
      </c>
      <c r="H61" t="inlineStr">
        <is>
          <t>http://hl7.org/fhir/StructureDefinition/Device</t>
        </is>
      </c>
      <c r="I61" t="inlineStr">
        <is>
          <t>Indicates the default or preferred name to be displayed.</t>
        </is>
      </c>
      <c r="J61" t="inlineStr">
        <is>
          <t>http://hl7.org/fhir/StructureDefinition/Device</t>
        </is>
      </c>
      <c r="K61" t="inlineStr"/>
      <c r="L61" t="inlineStr">
        <is>
          <t>needs_new_semantic</t>
        </is>
      </c>
    </row>
    <row r="62">
      <c r="A62" t="inlineStr">
        <is>
          <t>admin_core</t>
        </is>
      </c>
      <c r="B62" t="inlineStr">
        <is>
          <t>R5</t>
        </is>
      </c>
      <c r="C62" t="inlineStr">
        <is>
          <t>Device</t>
        </is>
      </c>
      <c r="D62" t="inlineStr">
        <is>
          <t>Device.name.extension</t>
        </is>
      </c>
      <c r="E62" t="inlineStr">
        <is>
          <t>Extension</t>
        </is>
      </c>
      <c r="F62" t="inlineStr">
        <is>
          <t>0..*</t>
        </is>
      </c>
      <c r="G62" t="inlineStr"/>
      <c r="H62" t="inlineStr">
        <is>
          <t>http://hl7.org/fhir/StructureDefinition/Device</t>
        </is>
      </c>
      <c r="I62"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62" t="inlineStr">
        <is>
          <t>http://hl7.org/fhir/StructureDefinition/Device</t>
        </is>
      </c>
      <c r="K62" t="inlineStr"/>
      <c r="L62" t="inlineStr">
        <is>
          <t>needs_new_semantic</t>
        </is>
      </c>
    </row>
    <row r="63">
      <c r="A63" t="inlineStr">
        <is>
          <t>admin_core</t>
        </is>
      </c>
      <c r="B63" t="inlineStr">
        <is>
          <t>R5</t>
        </is>
      </c>
      <c r="C63" t="inlineStr">
        <is>
          <t>Device</t>
        </is>
      </c>
      <c r="D63" t="inlineStr">
        <is>
          <t>Device.name.id</t>
        </is>
      </c>
      <c r="E63" t="inlineStr">
        <is>
          <t>http://hl7.org/fhirpath/System.String</t>
        </is>
      </c>
      <c r="F63" t="inlineStr">
        <is>
          <t>0..1</t>
        </is>
      </c>
      <c r="G63" t="inlineStr"/>
      <c r="H63" t="inlineStr">
        <is>
          <t>http://hl7.org/fhir/StructureDefinition/Device</t>
        </is>
      </c>
      <c r="I63" t="inlineStr">
        <is>
          <t>Unique id for the element within a resource (for internal references). This may be any string value that does not contain spaces.</t>
        </is>
      </c>
      <c r="J63" t="inlineStr">
        <is>
          <t>http://hl7.org/fhir/StructureDefinition/Device</t>
        </is>
      </c>
      <c r="K63" t="inlineStr"/>
      <c r="L63" t="inlineStr">
        <is>
          <t>needs_new_semantic</t>
        </is>
      </c>
    </row>
    <row r="64">
      <c r="A64" t="inlineStr">
        <is>
          <t>admin_core</t>
        </is>
      </c>
      <c r="B64" t="inlineStr">
        <is>
          <t>R5</t>
        </is>
      </c>
      <c r="C64" t="inlineStr">
        <is>
          <t>Device</t>
        </is>
      </c>
      <c r="D64" t="inlineStr">
        <is>
          <t>Device.name.modifierExtension</t>
        </is>
      </c>
      <c r="E64" t="inlineStr">
        <is>
          <t>Extension</t>
        </is>
      </c>
      <c r="F64" t="inlineStr">
        <is>
          <t>0..*</t>
        </is>
      </c>
      <c r="G64" t="inlineStr"/>
      <c r="H64" t="inlineStr">
        <is>
          <t>http://hl7.org/fhir/StructureDefinition/Device</t>
        </is>
      </c>
      <c r="I64"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64" t="inlineStr">
        <is>
          <t>http://hl7.org/fhir/StructureDefinition/Device</t>
        </is>
      </c>
      <c r="K64" t="inlineStr"/>
      <c r="L64" t="inlineStr">
        <is>
          <t>needs_new_semantic</t>
        </is>
      </c>
    </row>
    <row r="65">
      <c r="A65" t="inlineStr">
        <is>
          <t>admin_core</t>
        </is>
      </c>
      <c r="B65" t="inlineStr">
        <is>
          <t>R5</t>
        </is>
      </c>
      <c r="C65" t="inlineStr">
        <is>
          <t>Device</t>
        </is>
      </c>
      <c r="D65" t="inlineStr">
        <is>
          <t>Device.name.type</t>
        </is>
      </c>
      <c r="E65" t="inlineStr">
        <is>
          <t>code</t>
        </is>
      </c>
      <c r="F65" t="inlineStr">
        <is>
          <t>1..1</t>
        </is>
      </c>
      <c r="G65" t="inlineStr">
        <is>
          <t>False</t>
        </is>
      </c>
      <c r="H65" t="inlineStr">
        <is>
          <t>http://hl7.org/fhir/StructureDefinition/Device</t>
        </is>
      </c>
      <c r="I65" t="inlineStr">
        <is>
          <t>Indicates the kind of name. RegisteredName | UserFriendlyName | PatientReportedName.</t>
        </is>
      </c>
      <c r="J65" t="inlineStr">
        <is>
          <t>http://hl7.org/fhir/StructureDefinition/Device</t>
        </is>
      </c>
      <c r="K65" t="inlineStr"/>
      <c r="L65" t="inlineStr">
        <is>
          <t>needs_new_semantic</t>
        </is>
      </c>
    </row>
    <row r="66">
      <c r="A66" t="inlineStr">
        <is>
          <t>admin_core</t>
        </is>
      </c>
      <c r="B66" t="inlineStr">
        <is>
          <t>R5</t>
        </is>
      </c>
      <c r="C66" t="inlineStr">
        <is>
          <t>Device</t>
        </is>
      </c>
      <c r="D66" t="inlineStr">
        <is>
          <t>Device.name.value</t>
        </is>
      </c>
      <c r="E66" t="inlineStr">
        <is>
          <t>string</t>
        </is>
      </c>
      <c r="F66" t="inlineStr">
        <is>
          <t>1..1</t>
        </is>
      </c>
      <c r="G66" t="inlineStr">
        <is>
          <t>False</t>
        </is>
      </c>
      <c r="H66" t="inlineStr">
        <is>
          <t>http://hl7.org/fhir/StructureDefinition/Device</t>
        </is>
      </c>
      <c r="I66" t="inlineStr">
        <is>
          <t>The actual name that identifies the device.</t>
        </is>
      </c>
      <c r="J66" t="inlineStr">
        <is>
          <t>http://hl7.org/fhir/StructureDefinition/Device</t>
        </is>
      </c>
      <c r="K66" t="inlineStr"/>
      <c r="L66" t="inlineStr">
        <is>
          <t>needs_new_semantic</t>
        </is>
      </c>
    </row>
    <row r="67">
      <c r="A67" t="inlineStr">
        <is>
          <t>admin_core</t>
        </is>
      </c>
      <c r="B67" t="inlineStr">
        <is>
          <t>R5</t>
        </is>
      </c>
      <c r="C67" t="inlineStr">
        <is>
          <t>Device</t>
        </is>
      </c>
      <c r="D67" t="inlineStr">
        <is>
          <t>Device.note</t>
        </is>
      </c>
      <c r="E67" t="inlineStr">
        <is>
          <t>Annotation</t>
        </is>
      </c>
      <c r="F67" t="inlineStr">
        <is>
          <t>0..*</t>
        </is>
      </c>
      <c r="G67" t="inlineStr">
        <is>
          <t>False</t>
        </is>
      </c>
      <c r="H67" t="inlineStr">
        <is>
          <t>http://hl7.org/fhir/StructureDefinition/Device</t>
        </is>
      </c>
      <c r="I67" t="inlineStr">
        <is>
          <t>Descriptive information, usage information or implantation information that is not captured in an existing element.</t>
        </is>
      </c>
      <c r="J67" t="inlineStr">
        <is>
          <t>http://hl7.org/fhir/StructureDefinition/Device</t>
        </is>
      </c>
      <c r="K67" t="inlineStr"/>
      <c r="L67" t="inlineStr">
        <is>
          <t>needs_new_semantic</t>
        </is>
      </c>
    </row>
    <row r="68">
      <c r="A68" t="inlineStr">
        <is>
          <t>admin_core</t>
        </is>
      </c>
      <c r="B68" t="inlineStr">
        <is>
          <t>R5</t>
        </is>
      </c>
      <c r="C68" t="inlineStr">
        <is>
          <t>Device</t>
        </is>
      </c>
      <c r="D68" t="inlineStr">
        <is>
          <t>Device.owner</t>
        </is>
      </c>
      <c r="E68" t="inlineStr">
        <is>
          <t>Reference</t>
        </is>
      </c>
      <c r="F68" t="inlineStr">
        <is>
          <t>0..1</t>
        </is>
      </c>
      <c r="G68" t="inlineStr">
        <is>
          <t>False</t>
        </is>
      </c>
      <c r="H68" t="inlineStr">
        <is>
          <t>http://hl7.org/fhir/StructureDefinition/Device</t>
        </is>
      </c>
      <c r="I68" t="inlineStr">
        <is>
          <t>An organization that is responsible for the provision and ongoing maintenance of the device.</t>
        </is>
      </c>
      <c r="J68" t="inlineStr">
        <is>
          <t>http://hl7.org/fhir/StructureDefinition/Device</t>
        </is>
      </c>
      <c r="K68" t="inlineStr"/>
      <c r="L68" t="inlineStr">
        <is>
          <t>needs_new_semantic</t>
        </is>
      </c>
    </row>
    <row r="69">
      <c r="A69" t="inlineStr">
        <is>
          <t>admin_core</t>
        </is>
      </c>
      <c r="B69" t="inlineStr">
        <is>
          <t>R5</t>
        </is>
      </c>
      <c r="C69" t="inlineStr">
        <is>
          <t>Device</t>
        </is>
      </c>
      <c r="D69" t="inlineStr">
        <is>
          <t>Device.parent</t>
        </is>
      </c>
      <c r="E69" t="inlineStr">
        <is>
          <t>Reference</t>
        </is>
      </c>
      <c r="F69" t="inlineStr">
        <is>
          <t>0..1</t>
        </is>
      </c>
      <c r="G69" t="inlineStr">
        <is>
          <t>False</t>
        </is>
      </c>
      <c r="H69" t="inlineStr">
        <is>
          <t>http://hl7.org/fhir/StructureDefinition/Device</t>
        </is>
      </c>
      <c r="I69" t="inlineStr">
        <is>
          <t>The higher level or encompassing device that this device is a logical part of.</t>
        </is>
      </c>
      <c r="J69" t="inlineStr">
        <is>
          <t>http://hl7.org/fhir/StructureDefinition/Device</t>
        </is>
      </c>
      <c r="K69" t="inlineStr"/>
      <c r="L69" t="inlineStr">
        <is>
          <t>needs_new_semantic</t>
        </is>
      </c>
    </row>
    <row r="70">
      <c r="A70" t="inlineStr">
        <is>
          <t>admin_core</t>
        </is>
      </c>
      <c r="B70" t="inlineStr">
        <is>
          <t>R5</t>
        </is>
      </c>
      <c r="C70" t="inlineStr">
        <is>
          <t>Device</t>
        </is>
      </c>
      <c r="D70" t="inlineStr">
        <is>
          <t>Device.partNumber</t>
        </is>
      </c>
      <c r="E70" t="inlineStr">
        <is>
          <t>string</t>
        </is>
      </c>
      <c r="F70" t="inlineStr">
        <is>
          <t>0..1</t>
        </is>
      </c>
      <c r="G70" t="inlineStr">
        <is>
          <t>False</t>
        </is>
      </c>
      <c r="H70" t="inlineStr">
        <is>
          <t>http://hl7.org/fhir/StructureDefinition/Device</t>
        </is>
      </c>
      <c r="I70" t="inlineStr">
        <is>
          <t>The part number or catalog number of the device.</t>
        </is>
      </c>
      <c r="J70" t="inlineStr">
        <is>
          <t>http://hl7.org/fhir/StructureDefinition/Device</t>
        </is>
      </c>
      <c r="K70" t="inlineStr"/>
      <c r="L70" t="inlineStr">
        <is>
          <t>needs_new_semantic</t>
        </is>
      </c>
    </row>
    <row r="71">
      <c r="A71" t="inlineStr">
        <is>
          <t>admin_core</t>
        </is>
      </c>
      <c r="B71" t="inlineStr">
        <is>
          <t>R5</t>
        </is>
      </c>
      <c r="C71" t="inlineStr">
        <is>
          <t>Device</t>
        </is>
      </c>
      <c r="D71" t="inlineStr">
        <is>
          <t>Device.property</t>
        </is>
      </c>
      <c r="E71" t="inlineStr">
        <is>
          <t>BackboneElement</t>
        </is>
      </c>
      <c r="F71" t="inlineStr">
        <is>
          <t>0..*</t>
        </is>
      </c>
      <c r="G71" t="inlineStr">
        <is>
          <t>False</t>
        </is>
      </c>
      <c r="H71" t="inlineStr">
        <is>
          <t>http://hl7.org/fhir/StructureDefinition/Device</t>
        </is>
      </c>
      <c r="I71" t="inlineStr">
        <is>
          <t>Static or essentially fixed characteristics or features of the device (e.g., time or timing attributes, resolution, accuracy, intended use or instructions for use, and physical attributes) that are not otherwise captured in more specific attributes.</t>
        </is>
      </c>
      <c r="J71" t="inlineStr">
        <is>
          <t>http://hl7.org/fhir/StructureDefinition/Device</t>
        </is>
      </c>
      <c r="K71" t="inlineStr"/>
      <c r="L71" t="inlineStr">
        <is>
          <t>needs_new_semantic</t>
        </is>
      </c>
    </row>
    <row r="72">
      <c r="A72" t="inlineStr">
        <is>
          <t>admin_core</t>
        </is>
      </c>
      <c r="B72" t="inlineStr">
        <is>
          <t>R5</t>
        </is>
      </c>
      <c r="C72" t="inlineStr">
        <is>
          <t>Device</t>
        </is>
      </c>
      <c r="D72" t="inlineStr">
        <is>
          <t>Device.property.extension</t>
        </is>
      </c>
      <c r="E72" t="inlineStr">
        <is>
          <t>Extension</t>
        </is>
      </c>
      <c r="F72" t="inlineStr">
        <is>
          <t>0..*</t>
        </is>
      </c>
      <c r="G72" t="inlineStr"/>
      <c r="H72" t="inlineStr">
        <is>
          <t>http://hl7.org/fhir/StructureDefinition/Device</t>
        </is>
      </c>
      <c r="I72"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72" t="inlineStr">
        <is>
          <t>http://hl7.org/fhir/StructureDefinition/Device</t>
        </is>
      </c>
      <c r="K72" t="inlineStr"/>
      <c r="L72" t="inlineStr">
        <is>
          <t>needs_new_semantic</t>
        </is>
      </c>
    </row>
    <row r="73">
      <c r="A73" t="inlineStr">
        <is>
          <t>admin_core</t>
        </is>
      </c>
      <c r="B73" t="inlineStr">
        <is>
          <t>R5</t>
        </is>
      </c>
      <c r="C73" t="inlineStr">
        <is>
          <t>Device</t>
        </is>
      </c>
      <c r="D73" t="inlineStr">
        <is>
          <t>Device.property.id</t>
        </is>
      </c>
      <c r="E73" t="inlineStr">
        <is>
          <t>http://hl7.org/fhirpath/System.String</t>
        </is>
      </c>
      <c r="F73" t="inlineStr">
        <is>
          <t>0..1</t>
        </is>
      </c>
      <c r="G73" t="inlineStr"/>
      <c r="H73" t="inlineStr">
        <is>
          <t>http://hl7.org/fhir/StructureDefinition/Device</t>
        </is>
      </c>
      <c r="I73" t="inlineStr">
        <is>
          <t>Unique id for the element within a resource (for internal references). This may be any string value that does not contain spaces.</t>
        </is>
      </c>
      <c r="J73" t="inlineStr">
        <is>
          <t>http://hl7.org/fhir/StructureDefinition/Device</t>
        </is>
      </c>
      <c r="K73" t="inlineStr"/>
      <c r="L73" t="inlineStr">
        <is>
          <t>needs_new_semantic</t>
        </is>
      </c>
    </row>
    <row r="74">
      <c r="A74" t="inlineStr">
        <is>
          <t>admin_core</t>
        </is>
      </c>
      <c r="B74" t="inlineStr">
        <is>
          <t>R5</t>
        </is>
      </c>
      <c r="C74" t="inlineStr">
        <is>
          <t>Device</t>
        </is>
      </c>
      <c r="D74" t="inlineStr">
        <is>
          <t>Device.property.modifierExtension</t>
        </is>
      </c>
      <c r="E74" t="inlineStr">
        <is>
          <t>Extension</t>
        </is>
      </c>
      <c r="F74" t="inlineStr">
        <is>
          <t>0..*</t>
        </is>
      </c>
      <c r="G74" t="inlineStr"/>
      <c r="H74" t="inlineStr">
        <is>
          <t>http://hl7.org/fhir/StructureDefinition/Device</t>
        </is>
      </c>
      <c r="I74"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74" t="inlineStr">
        <is>
          <t>http://hl7.org/fhir/StructureDefinition/Device</t>
        </is>
      </c>
      <c r="K74" t="inlineStr"/>
      <c r="L74" t="inlineStr">
        <is>
          <t>needs_new_semantic</t>
        </is>
      </c>
    </row>
    <row r="75">
      <c r="A75" t="inlineStr">
        <is>
          <t>admin_core</t>
        </is>
      </c>
      <c r="B75" t="inlineStr">
        <is>
          <t>R5</t>
        </is>
      </c>
      <c r="C75" t="inlineStr">
        <is>
          <t>Device</t>
        </is>
      </c>
      <c r="D75" t="inlineStr">
        <is>
          <t>Device.property.type</t>
        </is>
      </c>
      <c r="E75" t="inlineStr">
        <is>
          <t>CodeableConcept</t>
        </is>
      </c>
      <c r="F75" t="inlineStr">
        <is>
          <t>1..1</t>
        </is>
      </c>
      <c r="G75" t="inlineStr">
        <is>
          <t>False</t>
        </is>
      </c>
      <c r="H75" t="inlineStr">
        <is>
          <t>http://hl7.org/fhir/StructureDefinition/Device</t>
        </is>
      </c>
      <c r="I75" t="inlineStr">
        <is>
          <t>Code that specifies the property, such as resolution, color, size, being represented.</t>
        </is>
      </c>
      <c r="J75" t="inlineStr">
        <is>
          <t>http://hl7.org/fhir/StructureDefinition/Device</t>
        </is>
      </c>
      <c r="K75" t="inlineStr"/>
      <c r="L75" t="inlineStr">
        <is>
          <t>needs_new_semantic</t>
        </is>
      </c>
    </row>
    <row r="76">
      <c r="A76" t="inlineStr">
        <is>
          <t>admin_core</t>
        </is>
      </c>
      <c r="B76" t="inlineStr">
        <is>
          <t>R5</t>
        </is>
      </c>
      <c r="C76" t="inlineStr">
        <is>
          <t>Device</t>
        </is>
      </c>
      <c r="D76" t="inlineStr">
        <is>
          <t>Device.property.value[x]</t>
        </is>
      </c>
      <c r="E76" t="inlineStr">
        <is>
          <t>Quantity</t>
        </is>
      </c>
      <c r="F76" t="inlineStr">
        <is>
          <t>1..1</t>
        </is>
      </c>
      <c r="G76" t="inlineStr">
        <is>
          <t>False</t>
        </is>
      </c>
      <c r="H76" t="inlineStr">
        <is>
          <t>http://hl7.org/fhir/StructureDefinition/Device</t>
        </is>
      </c>
      <c r="I76" t="inlineStr">
        <is>
          <t>The value of the property specified by the associated property.type code.</t>
        </is>
      </c>
      <c r="J76" t="inlineStr">
        <is>
          <t>http://hl7.org/fhir/StructureDefinition/Device</t>
        </is>
      </c>
      <c r="K76" t="inlineStr"/>
      <c r="L76" t="inlineStr">
        <is>
          <t>needs_new_semantic</t>
        </is>
      </c>
    </row>
    <row r="77">
      <c r="A77" t="inlineStr">
        <is>
          <t>admin_core</t>
        </is>
      </c>
      <c r="B77" t="inlineStr">
        <is>
          <t>R5</t>
        </is>
      </c>
      <c r="C77" t="inlineStr">
        <is>
          <t>Device</t>
        </is>
      </c>
      <c r="D77" t="inlineStr">
        <is>
          <t>Device.safety</t>
        </is>
      </c>
      <c r="E77" t="inlineStr">
        <is>
          <t>CodeableConcept</t>
        </is>
      </c>
      <c r="F77" t="inlineStr">
        <is>
          <t>0..*</t>
        </is>
      </c>
      <c r="G77" t="inlineStr">
        <is>
          <t>False</t>
        </is>
      </c>
      <c r="H77" t="inlineStr">
        <is>
          <t>http://hl7.org/fhir/StructureDefinition/Device</t>
        </is>
      </c>
      <c r="I77" t="inlineStr">
        <is>
          <t>Provides additional safety characteristics about a medical device.  For example devices containing latex.</t>
        </is>
      </c>
      <c r="J77" t="inlineStr">
        <is>
          <t>http://hl7.org/fhir/StructureDefinition/Device</t>
        </is>
      </c>
      <c r="K77" t="inlineStr"/>
      <c r="L77" t="inlineStr">
        <is>
          <t>needs_new_semantic</t>
        </is>
      </c>
    </row>
    <row r="78">
      <c r="A78" t="inlineStr">
        <is>
          <t>admin_core</t>
        </is>
      </c>
      <c r="B78" t="inlineStr">
        <is>
          <t>R5</t>
        </is>
      </c>
      <c r="C78" t="inlineStr">
        <is>
          <t>Device</t>
        </is>
      </c>
      <c r="D78" t="inlineStr">
        <is>
          <t>Device.serialNumber</t>
        </is>
      </c>
      <c r="E78" t="inlineStr">
        <is>
          <t>string</t>
        </is>
      </c>
      <c r="F78" t="inlineStr">
        <is>
          <t>0..1</t>
        </is>
      </c>
      <c r="G78" t="inlineStr">
        <is>
          <t>False</t>
        </is>
      </c>
      <c r="H78" t="inlineStr">
        <is>
          <t>http://hl7.org/fhir/StructureDefinition/Device</t>
        </is>
      </c>
      <c r="I78" t="inlineStr">
        <is>
          <t>The serial number assigned by the organization when the device was manufactured.</t>
        </is>
      </c>
      <c r="J78" t="inlineStr">
        <is>
          <t>http://hl7.org/fhir/StructureDefinition/Device</t>
        </is>
      </c>
      <c r="K78" t="inlineStr"/>
      <c r="L78" t="inlineStr">
        <is>
          <t>needs_new_semantic</t>
        </is>
      </c>
    </row>
    <row r="79">
      <c r="A79" t="inlineStr">
        <is>
          <t>admin_core</t>
        </is>
      </c>
      <c r="B79" t="inlineStr">
        <is>
          <t>R5</t>
        </is>
      </c>
      <c r="C79" t="inlineStr">
        <is>
          <t>Device</t>
        </is>
      </c>
      <c r="D79" t="inlineStr">
        <is>
          <t>Device.status</t>
        </is>
      </c>
      <c r="E79" t="inlineStr">
        <is>
          <t>code</t>
        </is>
      </c>
      <c r="F79" t="inlineStr">
        <is>
          <t>0..1</t>
        </is>
      </c>
      <c r="G79" t="inlineStr">
        <is>
          <t>False</t>
        </is>
      </c>
      <c r="H79" t="inlineStr">
        <is>
          <t>http://hl7.org/fhir/StructureDefinition/Device</t>
        </is>
      </c>
      <c r="I79" t="inlineStr">
        <is>
          <t>The Device record status. This is not the status of the device like availability.</t>
        </is>
      </c>
      <c r="J79" t="inlineStr">
        <is>
          <t>http://hl7.org/fhir/StructureDefinition/Device</t>
        </is>
      </c>
      <c r="K79" t="inlineStr"/>
      <c r="L79" t="inlineStr">
        <is>
          <t>needs_new_semantic</t>
        </is>
      </c>
    </row>
    <row r="80">
      <c r="A80" t="inlineStr">
        <is>
          <t>admin_core</t>
        </is>
      </c>
      <c r="B80" t="inlineStr">
        <is>
          <t>R5</t>
        </is>
      </c>
      <c r="C80" t="inlineStr">
        <is>
          <t>Device</t>
        </is>
      </c>
      <c r="D80" t="inlineStr">
        <is>
          <t>Device.text</t>
        </is>
      </c>
      <c r="E80" t="inlineStr">
        <is>
          <t>Narrative</t>
        </is>
      </c>
      <c r="F80" t="inlineStr">
        <is>
          <t>0..1</t>
        </is>
      </c>
      <c r="G80" t="inlineStr">
        <is>
          <t>False</t>
        </is>
      </c>
      <c r="H80" t="inlineStr">
        <is>
          <t>http://hl7.org/fhir/StructureDefinition/Device</t>
        </is>
      </c>
      <c r="I80"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80" t="inlineStr">
        <is>
          <t>http://hl7.org/fhir/StructureDefinition/Device</t>
        </is>
      </c>
      <c r="K80" t="inlineStr"/>
      <c r="L80" t="inlineStr">
        <is>
          <t>needs_new_semantic</t>
        </is>
      </c>
    </row>
    <row r="81">
      <c r="A81" t="inlineStr">
        <is>
          <t>admin_core</t>
        </is>
      </c>
      <c r="B81" t="inlineStr">
        <is>
          <t>R5</t>
        </is>
      </c>
      <c r="C81" t="inlineStr">
        <is>
          <t>Device</t>
        </is>
      </c>
      <c r="D81" t="inlineStr">
        <is>
          <t>Device.type</t>
        </is>
      </c>
      <c r="E81" t="inlineStr">
        <is>
          <t>CodeableConcept</t>
        </is>
      </c>
      <c r="F81" t="inlineStr">
        <is>
          <t>0..*</t>
        </is>
      </c>
      <c r="G81" t="inlineStr">
        <is>
          <t>False</t>
        </is>
      </c>
      <c r="H81" t="inlineStr">
        <is>
          <t>http://hl7.org/fhir/StructureDefinition/Device</t>
        </is>
      </c>
      <c r="I81" t="inlineStr">
        <is>
          <t>The kind or type of device. A device instance may have more than one type - in which case those are the types that apply to the specific instance of the device.</t>
        </is>
      </c>
      <c r="J81" t="inlineStr">
        <is>
          <t>http://hl7.org/fhir/StructureDefinition/Device</t>
        </is>
      </c>
      <c r="K81" t="inlineStr"/>
      <c r="L81" t="inlineStr">
        <is>
          <t>needs_new_semantic</t>
        </is>
      </c>
    </row>
    <row r="82">
      <c r="A82" t="inlineStr">
        <is>
          <t>admin_core</t>
        </is>
      </c>
      <c r="B82" t="inlineStr">
        <is>
          <t>R5</t>
        </is>
      </c>
      <c r="C82" t="inlineStr">
        <is>
          <t>Device</t>
        </is>
      </c>
      <c r="D82" t="inlineStr">
        <is>
          <t>Device.udiCarrier</t>
        </is>
      </c>
      <c r="E82" t="inlineStr">
        <is>
          <t>BackboneElement</t>
        </is>
      </c>
      <c r="F82" t="inlineStr">
        <is>
          <t>0..*</t>
        </is>
      </c>
      <c r="G82" t="inlineStr">
        <is>
          <t>False</t>
        </is>
      </c>
      <c r="H82" t="inlineStr">
        <is>
          <t>http://hl7.org/fhir/StructureDefinition/Device</t>
        </is>
      </c>
      <c r="I82" t="inlineStr">
        <is>
          <t>Unique device identifier (UDI) assigned to device label or package.  Note that the Device may include multiple udiCarriers as it either may include just the udiCarrier for the jurisdiction it is sold, or for multiple jurisdictions it could have been sold.</t>
        </is>
      </c>
      <c r="J82" t="inlineStr">
        <is>
          <t>http://hl7.org/fhir/StructureDefinition/Device</t>
        </is>
      </c>
      <c r="K82" t="inlineStr"/>
      <c r="L82" t="inlineStr">
        <is>
          <t>needs_new_semantic</t>
        </is>
      </c>
    </row>
    <row r="83">
      <c r="A83" t="inlineStr">
        <is>
          <t>admin_core</t>
        </is>
      </c>
      <c r="B83" t="inlineStr">
        <is>
          <t>R5</t>
        </is>
      </c>
      <c r="C83" t="inlineStr">
        <is>
          <t>Device</t>
        </is>
      </c>
      <c r="D83" t="inlineStr">
        <is>
          <t>Device.udiCarrier.carrierAIDC</t>
        </is>
      </c>
      <c r="E83" t="inlineStr">
        <is>
          <t>base64Binary</t>
        </is>
      </c>
      <c r="F83" t="inlineStr">
        <is>
          <t>0..1</t>
        </is>
      </c>
      <c r="G83" t="inlineStr">
        <is>
          <t>False</t>
        </is>
      </c>
      <c r="H83" t="inlineStr">
        <is>
          <t>http://hl7.org/fhir/StructureDefinition/Device</t>
        </is>
      </c>
      <c r="I83" t="inlineStr">
        <is>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is>
      </c>
      <c r="J83" t="inlineStr">
        <is>
          <t>http://hl7.org/fhir/StructureDefinition/Device</t>
        </is>
      </c>
      <c r="K83" t="inlineStr"/>
      <c r="L83" t="inlineStr">
        <is>
          <t>needs_new_semantic</t>
        </is>
      </c>
    </row>
    <row r="84">
      <c r="A84" t="inlineStr">
        <is>
          <t>admin_core</t>
        </is>
      </c>
      <c r="B84" t="inlineStr">
        <is>
          <t>R5</t>
        </is>
      </c>
      <c r="C84" t="inlineStr">
        <is>
          <t>Device</t>
        </is>
      </c>
      <c r="D84" t="inlineStr">
        <is>
          <t>Device.udiCarrier.carrierHRF</t>
        </is>
      </c>
      <c r="E84" t="inlineStr">
        <is>
          <t>string</t>
        </is>
      </c>
      <c r="F84" t="inlineStr">
        <is>
          <t>0..1</t>
        </is>
      </c>
      <c r="G84" t="inlineStr">
        <is>
          <t>False</t>
        </is>
      </c>
      <c r="H84" t="inlineStr">
        <is>
          <t>http://hl7.org/fhir/StructureDefinition/Device</t>
        </is>
      </c>
      <c r="I84" t="inlineStr">
        <is>
          <t>The full UDI carrier as the human readable form (HRF) representation of the barcode string as printed on the packaging of the device.</t>
        </is>
      </c>
      <c r="J84" t="inlineStr">
        <is>
          <t>http://hl7.org/fhir/StructureDefinition/Device</t>
        </is>
      </c>
      <c r="K84" t="inlineStr"/>
      <c r="L84" t="inlineStr">
        <is>
          <t>needs_new_semantic</t>
        </is>
      </c>
    </row>
    <row r="85">
      <c r="A85" t="inlineStr">
        <is>
          <t>admin_core</t>
        </is>
      </c>
      <c r="B85" t="inlineStr">
        <is>
          <t>R5</t>
        </is>
      </c>
      <c r="C85" t="inlineStr">
        <is>
          <t>Device</t>
        </is>
      </c>
      <c r="D85" t="inlineStr">
        <is>
          <t>Device.udiCarrier.deviceIdentifier</t>
        </is>
      </c>
      <c r="E85" t="inlineStr">
        <is>
          <t>string</t>
        </is>
      </c>
      <c r="F85" t="inlineStr">
        <is>
          <t>1..1</t>
        </is>
      </c>
      <c r="G85" t="inlineStr">
        <is>
          <t>False</t>
        </is>
      </c>
      <c r="H85" t="inlineStr">
        <is>
          <t>http://hl7.org/fhir/StructureDefinition/Device</t>
        </is>
      </c>
      <c r="I85" t="inlineStr">
        <is>
          <t>The device identifier (DI) is a mandatory, fixed portion of a UDI that identifies the labeler and the specific version or model of a device.</t>
        </is>
      </c>
      <c r="J85" t="inlineStr">
        <is>
          <t>http://hl7.org/fhir/StructureDefinition/Device</t>
        </is>
      </c>
      <c r="K85" t="inlineStr"/>
      <c r="L85" t="inlineStr">
        <is>
          <t>needs_new_semantic</t>
        </is>
      </c>
    </row>
    <row r="86">
      <c r="A86" t="inlineStr">
        <is>
          <t>admin_core</t>
        </is>
      </c>
      <c r="B86" t="inlineStr">
        <is>
          <t>R5</t>
        </is>
      </c>
      <c r="C86" t="inlineStr">
        <is>
          <t>Device</t>
        </is>
      </c>
      <c r="D86" t="inlineStr">
        <is>
          <t>Device.udiCarrier.entryType</t>
        </is>
      </c>
      <c r="E86" t="inlineStr">
        <is>
          <t>code</t>
        </is>
      </c>
      <c r="F86" t="inlineStr">
        <is>
          <t>0..1</t>
        </is>
      </c>
      <c r="G86" t="inlineStr">
        <is>
          <t>False</t>
        </is>
      </c>
      <c r="H86" t="inlineStr">
        <is>
          <t>http://hl7.org/fhir/StructureDefinition/Device</t>
        </is>
      </c>
      <c r="I86" t="inlineStr">
        <is>
          <t>A coded entry to indicate how the data was entered.</t>
        </is>
      </c>
      <c r="J86" t="inlineStr">
        <is>
          <t>http://hl7.org/fhir/StructureDefinition/Device</t>
        </is>
      </c>
      <c r="K86" t="inlineStr"/>
      <c r="L86" t="inlineStr">
        <is>
          <t>needs_new_semantic</t>
        </is>
      </c>
    </row>
    <row r="87">
      <c r="A87" t="inlineStr">
        <is>
          <t>admin_core</t>
        </is>
      </c>
      <c r="B87" t="inlineStr">
        <is>
          <t>R5</t>
        </is>
      </c>
      <c r="C87" t="inlineStr">
        <is>
          <t>Device</t>
        </is>
      </c>
      <c r="D87" t="inlineStr">
        <is>
          <t>Device.udiCarrier.extension</t>
        </is>
      </c>
      <c r="E87" t="inlineStr">
        <is>
          <t>Extension</t>
        </is>
      </c>
      <c r="F87" t="inlineStr">
        <is>
          <t>0..*</t>
        </is>
      </c>
      <c r="G87" t="inlineStr"/>
      <c r="H87" t="inlineStr">
        <is>
          <t>http://hl7.org/fhir/StructureDefinition/Device</t>
        </is>
      </c>
      <c r="I87"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87" t="inlineStr">
        <is>
          <t>http://hl7.org/fhir/StructureDefinition/Device</t>
        </is>
      </c>
      <c r="K87" t="inlineStr"/>
      <c r="L87" t="inlineStr">
        <is>
          <t>needs_new_semantic</t>
        </is>
      </c>
    </row>
    <row r="88">
      <c r="A88" t="inlineStr">
        <is>
          <t>admin_core</t>
        </is>
      </c>
      <c r="B88" t="inlineStr">
        <is>
          <t>R5</t>
        </is>
      </c>
      <c r="C88" t="inlineStr">
        <is>
          <t>Device</t>
        </is>
      </c>
      <c r="D88" t="inlineStr">
        <is>
          <t>Device.udiCarrier.id</t>
        </is>
      </c>
      <c r="E88" t="inlineStr">
        <is>
          <t>http://hl7.org/fhirpath/System.String</t>
        </is>
      </c>
      <c r="F88" t="inlineStr">
        <is>
          <t>0..1</t>
        </is>
      </c>
      <c r="G88" t="inlineStr"/>
      <c r="H88" t="inlineStr">
        <is>
          <t>http://hl7.org/fhir/StructureDefinition/Device</t>
        </is>
      </c>
      <c r="I88" t="inlineStr">
        <is>
          <t>Unique id for the element within a resource (for internal references). This may be any string value that does not contain spaces.</t>
        </is>
      </c>
      <c r="J88" t="inlineStr">
        <is>
          <t>http://hl7.org/fhir/StructureDefinition/Device</t>
        </is>
      </c>
      <c r="K88" t="inlineStr"/>
      <c r="L88" t="inlineStr">
        <is>
          <t>needs_new_semantic</t>
        </is>
      </c>
    </row>
    <row r="89">
      <c r="A89" t="inlineStr">
        <is>
          <t>admin_core</t>
        </is>
      </c>
      <c r="B89" t="inlineStr">
        <is>
          <t>R5</t>
        </is>
      </c>
      <c r="C89" t="inlineStr">
        <is>
          <t>Device</t>
        </is>
      </c>
      <c r="D89" t="inlineStr">
        <is>
          <t>Device.udiCarrier.issuer</t>
        </is>
      </c>
      <c r="E89" t="inlineStr">
        <is>
          <t>uri</t>
        </is>
      </c>
      <c r="F89" t="inlineStr">
        <is>
          <t>1..1</t>
        </is>
      </c>
      <c r="G89" t="inlineStr">
        <is>
          <t>False</t>
        </is>
      </c>
      <c r="H89" t="inlineStr">
        <is>
          <t>http://hl7.org/fhir/StructureDefinition/Device</t>
        </is>
      </c>
      <c r="I89" t="inlineStr">
        <is>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is>
      </c>
      <c r="J89" t="inlineStr">
        <is>
          <t>http://hl7.org/fhir/StructureDefinition/Device</t>
        </is>
      </c>
      <c r="K89" t="inlineStr"/>
      <c r="L89" t="inlineStr">
        <is>
          <t>needs_new_semantic</t>
        </is>
      </c>
    </row>
    <row r="90">
      <c r="A90" t="inlineStr">
        <is>
          <t>admin_core</t>
        </is>
      </c>
      <c r="B90" t="inlineStr">
        <is>
          <t>R5</t>
        </is>
      </c>
      <c r="C90" t="inlineStr">
        <is>
          <t>Device</t>
        </is>
      </c>
      <c r="D90" t="inlineStr">
        <is>
          <t>Device.udiCarrier.jurisdiction</t>
        </is>
      </c>
      <c r="E90" t="inlineStr">
        <is>
          <t>uri</t>
        </is>
      </c>
      <c r="F90" t="inlineStr">
        <is>
          <t>0..1</t>
        </is>
      </c>
      <c r="G90" t="inlineStr">
        <is>
          <t>False</t>
        </is>
      </c>
      <c r="H90" t="inlineStr">
        <is>
          <t>http://hl7.org/fhir/StructureDefinition/Device</t>
        </is>
      </c>
      <c r="I90" t="inlineStr">
        <is>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is>
      </c>
      <c r="J90" t="inlineStr">
        <is>
          <t>http://hl7.org/fhir/StructureDefinition/Device</t>
        </is>
      </c>
      <c r="K90" t="inlineStr"/>
      <c r="L90" t="inlineStr">
        <is>
          <t>needs_new_semantic</t>
        </is>
      </c>
    </row>
    <row r="91">
      <c r="A91" t="inlineStr">
        <is>
          <t>admin_core</t>
        </is>
      </c>
      <c r="B91" t="inlineStr">
        <is>
          <t>R5</t>
        </is>
      </c>
      <c r="C91" t="inlineStr">
        <is>
          <t>Device</t>
        </is>
      </c>
      <c r="D91" t="inlineStr">
        <is>
          <t>Device.udiCarrier.modifierExtension</t>
        </is>
      </c>
      <c r="E91" t="inlineStr">
        <is>
          <t>Extension</t>
        </is>
      </c>
      <c r="F91" t="inlineStr">
        <is>
          <t>0..*</t>
        </is>
      </c>
      <c r="G91" t="inlineStr"/>
      <c r="H91" t="inlineStr">
        <is>
          <t>http://hl7.org/fhir/StructureDefinition/Device</t>
        </is>
      </c>
      <c r="I91"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91" t="inlineStr">
        <is>
          <t>http://hl7.org/fhir/StructureDefinition/Device</t>
        </is>
      </c>
      <c r="K91" t="inlineStr"/>
      <c r="L91" t="inlineStr">
        <is>
          <t>needs_new_semantic</t>
        </is>
      </c>
    </row>
    <row r="92">
      <c r="A92" t="inlineStr">
        <is>
          <t>admin_core</t>
        </is>
      </c>
      <c r="B92" t="inlineStr">
        <is>
          <t>R5</t>
        </is>
      </c>
      <c r="C92" t="inlineStr">
        <is>
          <t>Device</t>
        </is>
      </c>
      <c r="D92" t="inlineStr">
        <is>
          <t>Device.url</t>
        </is>
      </c>
      <c r="E92" t="inlineStr">
        <is>
          <t>uri</t>
        </is>
      </c>
      <c r="F92" t="inlineStr">
        <is>
          <t>0..1</t>
        </is>
      </c>
      <c r="G92" t="inlineStr">
        <is>
          <t>False</t>
        </is>
      </c>
      <c r="H92" t="inlineStr">
        <is>
          <t>http://hl7.org/fhir/StructureDefinition/Device</t>
        </is>
      </c>
      <c r="I92" t="inlineStr">
        <is>
          <t>A network address on which the device may be contacted directly.</t>
        </is>
      </c>
      <c r="J92" t="inlineStr">
        <is>
          <t>http://hl7.org/fhir/StructureDefinition/Device</t>
        </is>
      </c>
      <c r="K92" t="inlineStr"/>
      <c r="L92" t="inlineStr">
        <is>
          <t>needs_new_semantic</t>
        </is>
      </c>
    </row>
    <row r="93">
      <c r="A93" t="inlineStr">
        <is>
          <t>admin_core</t>
        </is>
      </c>
      <c r="B93" t="inlineStr">
        <is>
          <t>R5</t>
        </is>
      </c>
      <c r="C93" t="inlineStr">
        <is>
          <t>Device</t>
        </is>
      </c>
      <c r="D93" t="inlineStr">
        <is>
          <t>Device.version</t>
        </is>
      </c>
      <c r="E93" t="inlineStr">
        <is>
          <t>BackboneElement</t>
        </is>
      </c>
      <c r="F93" t="inlineStr">
        <is>
          <t>0..*</t>
        </is>
      </c>
      <c r="G93" t="inlineStr">
        <is>
          <t>False</t>
        </is>
      </c>
      <c r="H93" t="inlineStr">
        <is>
          <t>http://hl7.org/fhir/StructureDefinition/Device</t>
        </is>
      </c>
      <c r="I93" t="inlineStr">
        <is>
          <t>The actual design of the device or software version running on the device.</t>
        </is>
      </c>
      <c r="J93" t="inlineStr">
        <is>
          <t>http://hl7.org/fhir/StructureDefinition/Device</t>
        </is>
      </c>
      <c r="K93" t="inlineStr"/>
      <c r="L93" t="inlineStr">
        <is>
          <t>needs_new_semantic</t>
        </is>
      </c>
    </row>
    <row r="94">
      <c r="A94" t="inlineStr">
        <is>
          <t>admin_core</t>
        </is>
      </c>
      <c r="B94" t="inlineStr">
        <is>
          <t>R5</t>
        </is>
      </c>
      <c r="C94" t="inlineStr">
        <is>
          <t>Device</t>
        </is>
      </c>
      <c r="D94" t="inlineStr">
        <is>
          <t>Device.version.component</t>
        </is>
      </c>
      <c r="E94" t="inlineStr">
        <is>
          <t>Identifier</t>
        </is>
      </c>
      <c r="F94" t="inlineStr">
        <is>
          <t>0..1</t>
        </is>
      </c>
      <c r="G94" t="inlineStr">
        <is>
          <t>False</t>
        </is>
      </c>
      <c r="H94" t="inlineStr">
        <is>
          <t>http://hl7.org/fhir/StructureDefinition/Device</t>
        </is>
      </c>
      <c r="I94" t="inlineStr">
        <is>
          <t>The hardware or software module of the device to which the version applies.</t>
        </is>
      </c>
      <c r="J94" t="inlineStr">
        <is>
          <t>http://hl7.org/fhir/StructureDefinition/Device</t>
        </is>
      </c>
      <c r="K94" t="inlineStr"/>
      <c r="L94" t="inlineStr">
        <is>
          <t>needs_new_semantic</t>
        </is>
      </c>
    </row>
    <row r="95">
      <c r="A95" t="inlineStr">
        <is>
          <t>admin_core</t>
        </is>
      </c>
      <c r="B95" t="inlineStr">
        <is>
          <t>R5</t>
        </is>
      </c>
      <c r="C95" t="inlineStr">
        <is>
          <t>Device</t>
        </is>
      </c>
      <c r="D95" t="inlineStr">
        <is>
          <t>Device.version.extension</t>
        </is>
      </c>
      <c r="E95" t="inlineStr">
        <is>
          <t>Extension</t>
        </is>
      </c>
      <c r="F95" t="inlineStr">
        <is>
          <t>0..*</t>
        </is>
      </c>
      <c r="G95" t="inlineStr"/>
      <c r="H95" t="inlineStr">
        <is>
          <t>http://hl7.org/fhir/StructureDefinition/Device</t>
        </is>
      </c>
      <c r="I95"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95" t="inlineStr">
        <is>
          <t>http://hl7.org/fhir/StructureDefinition/Device</t>
        </is>
      </c>
      <c r="K95" t="inlineStr"/>
      <c r="L95" t="inlineStr">
        <is>
          <t>needs_new_semantic</t>
        </is>
      </c>
    </row>
    <row r="96">
      <c r="A96" t="inlineStr">
        <is>
          <t>admin_core</t>
        </is>
      </c>
      <c r="B96" t="inlineStr">
        <is>
          <t>R5</t>
        </is>
      </c>
      <c r="C96" t="inlineStr">
        <is>
          <t>Device</t>
        </is>
      </c>
      <c r="D96" t="inlineStr">
        <is>
          <t>Device.version.id</t>
        </is>
      </c>
      <c r="E96" t="inlineStr">
        <is>
          <t>http://hl7.org/fhirpath/System.String</t>
        </is>
      </c>
      <c r="F96" t="inlineStr">
        <is>
          <t>0..1</t>
        </is>
      </c>
      <c r="G96" t="inlineStr"/>
      <c r="H96" t="inlineStr">
        <is>
          <t>http://hl7.org/fhir/StructureDefinition/Device</t>
        </is>
      </c>
      <c r="I96" t="inlineStr">
        <is>
          <t>Unique id for the element within a resource (for internal references). This may be any string value that does not contain spaces.</t>
        </is>
      </c>
      <c r="J96" t="inlineStr">
        <is>
          <t>http://hl7.org/fhir/StructureDefinition/Device</t>
        </is>
      </c>
      <c r="K96" t="inlineStr"/>
      <c r="L96" t="inlineStr">
        <is>
          <t>needs_new_semantic</t>
        </is>
      </c>
    </row>
    <row r="97">
      <c r="A97" t="inlineStr">
        <is>
          <t>admin_core</t>
        </is>
      </c>
      <c r="B97" t="inlineStr">
        <is>
          <t>R5</t>
        </is>
      </c>
      <c r="C97" t="inlineStr">
        <is>
          <t>Device</t>
        </is>
      </c>
      <c r="D97" t="inlineStr">
        <is>
          <t>Device.version.installDate</t>
        </is>
      </c>
      <c r="E97" t="inlineStr">
        <is>
          <t>dateTime</t>
        </is>
      </c>
      <c r="F97" t="inlineStr">
        <is>
          <t>0..1</t>
        </is>
      </c>
      <c r="G97" t="inlineStr">
        <is>
          <t>False</t>
        </is>
      </c>
      <c r="H97" t="inlineStr">
        <is>
          <t>http://hl7.org/fhir/StructureDefinition/Device</t>
        </is>
      </c>
      <c r="I97" t="inlineStr">
        <is>
          <t>The date the version was installed on the device.</t>
        </is>
      </c>
      <c r="J97" t="inlineStr">
        <is>
          <t>http://hl7.org/fhir/StructureDefinition/Device</t>
        </is>
      </c>
      <c r="K97" t="inlineStr"/>
      <c r="L97" t="inlineStr">
        <is>
          <t>needs_new_semantic</t>
        </is>
      </c>
    </row>
    <row r="98">
      <c r="A98" t="inlineStr">
        <is>
          <t>admin_core</t>
        </is>
      </c>
      <c r="B98" t="inlineStr">
        <is>
          <t>R5</t>
        </is>
      </c>
      <c r="C98" t="inlineStr">
        <is>
          <t>Device</t>
        </is>
      </c>
      <c r="D98" t="inlineStr">
        <is>
          <t>Device.version.modifierExtension</t>
        </is>
      </c>
      <c r="E98" t="inlineStr">
        <is>
          <t>Extension</t>
        </is>
      </c>
      <c r="F98" t="inlineStr">
        <is>
          <t>0..*</t>
        </is>
      </c>
      <c r="G98" t="inlineStr"/>
      <c r="H98" t="inlineStr">
        <is>
          <t>http://hl7.org/fhir/StructureDefinition/Device</t>
        </is>
      </c>
      <c r="I98"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98" t="inlineStr">
        <is>
          <t>http://hl7.org/fhir/StructureDefinition/Device</t>
        </is>
      </c>
      <c r="K98" t="inlineStr"/>
      <c r="L98" t="inlineStr">
        <is>
          <t>needs_new_semantic</t>
        </is>
      </c>
    </row>
    <row r="99">
      <c r="A99" t="inlineStr">
        <is>
          <t>admin_core</t>
        </is>
      </c>
      <c r="B99" t="inlineStr">
        <is>
          <t>R5</t>
        </is>
      </c>
      <c r="C99" t="inlineStr">
        <is>
          <t>Device</t>
        </is>
      </c>
      <c r="D99" t="inlineStr">
        <is>
          <t>Device.version.type</t>
        </is>
      </c>
      <c r="E99" t="inlineStr">
        <is>
          <t>CodeableConcept</t>
        </is>
      </c>
      <c r="F99" t="inlineStr">
        <is>
          <t>0..1</t>
        </is>
      </c>
      <c r="G99" t="inlineStr">
        <is>
          <t>False</t>
        </is>
      </c>
      <c r="H99" t="inlineStr">
        <is>
          <t>http://hl7.org/fhir/StructureDefinition/Device</t>
        </is>
      </c>
      <c r="I99" t="inlineStr">
        <is>
          <t>The type of the device version, e.g. manufacturer, approved, internal.</t>
        </is>
      </c>
      <c r="J99" t="inlineStr">
        <is>
          <t>http://hl7.org/fhir/StructureDefinition/Device</t>
        </is>
      </c>
      <c r="K99" t="inlineStr"/>
      <c r="L99" t="inlineStr">
        <is>
          <t>needs_new_semantic</t>
        </is>
      </c>
    </row>
    <row r="100">
      <c r="A100" t="inlineStr">
        <is>
          <t>admin_core</t>
        </is>
      </c>
      <c r="B100" t="inlineStr">
        <is>
          <t>R5</t>
        </is>
      </c>
      <c r="C100" t="inlineStr">
        <is>
          <t>Device</t>
        </is>
      </c>
      <c r="D100" t="inlineStr">
        <is>
          <t>Device.version.value</t>
        </is>
      </c>
      <c r="E100" t="inlineStr">
        <is>
          <t>string</t>
        </is>
      </c>
      <c r="F100" t="inlineStr">
        <is>
          <t>1..1</t>
        </is>
      </c>
      <c r="G100" t="inlineStr">
        <is>
          <t>False</t>
        </is>
      </c>
      <c r="H100" t="inlineStr">
        <is>
          <t>http://hl7.org/fhir/StructureDefinition/Device</t>
        </is>
      </c>
      <c r="I100" t="inlineStr">
        <is>
          <t>The version text.</t>
        </is>
      </c>
      <c r="J100" t="inlineStr">
        <is>
          <t>http://hl7.org/fhir/StructureDefinition/Device</t>
        </is>
      </c>
      <c r="K100" t="inlineStr"/>
      <c r="L100" t="inlineStr">
        <is>
          <t>needs_new_semantic</t>
        </is>
      </c>
    </row>
    <row r="101">
      <c r="A101" t="inlineStr">
        <is>
          <t>admin_core</t>
        </is>
      </c>
      <c r="B101" t="inlineStr">
        <is>
          <t>R5</t>
        </is>
      </c>
      <c r="C101" t="inlineStr">
        <is>
          <t>HealthcareService</t>
        </is>
      </c>
      <c r="D101" t="inlineStr">
        <is>
          <t>HealthcareService.active</t>
        </is>
      </c>
      <c r="E101" t="inlineStr">
        <is>
          <t>boolean</t>
        </is>
      </c>
      <c r="F101" t="inlineStr">
        <is>
          <t>0..1</t>
        </is>
      </c>
      <c r="G101" t="inlineStr">
        <is>
          <t>False</t>
        </is>
      </c>
      <c r="H101" t="inlineStr">
        <is>
          <t>http://hl7.org/fhir/StructureDefinition/HealthcareService</t>
        </is>
      </c>
      <c r="I101" t="inlineStr">
        <is>
          <t>This flag is used to mark the record to not be used. This is not used when a center is closed for maintenance, or for holidays, the notAvailable period is to be used for this.</t>
        </is>
      </c>
      <c r="J101" t="inlineStr">
        <is>
          <t>http://hl7.org/fhir/StructureDefinition/HealthcareService</t>
        </is>
      </c>
      <c r="K101" t="inlineStr"/>
      <c r="L101" t="inlineStr">
        <is>
          <t>needs_new_semantic</t>
        </is>
      </c>
    </row>
    <row r="102">
      <c r="A102" t="inlineStr">
        <is>
          <t>admin_core</t>
        </is>
      </c>
      <c r="B102" t="inlineStr">
        <is>
          <t>R5</t>
        </is>
      </c>
      <c r="C102" t="inlineStr">
        <is>
          <t>HealthcareService</t>
        </is>
      </c>
      <c r="D102" t="inlineStr">
        <is>
          <t>HealthcareService.appointmentRequired</t>
        </is>
      </c>
      <c r="E102" t="inlineStr">
        <is>
          <t>boolean</t>
        </is>
      </c>
      <c r="F102" t="inlineStr">
        <is>
          <t>0..1</t>
        </is>
      </c>
      <c r="G102" t="inlineStr">
        <is>
          <t>False</t>
        </is>
      </c>
      <c r="H102" t="inlineStr">
        <is>
          <t>http://hl7.org/fhir/StructureDefinition/HealthcareService</t>
        </is>
      </c>
      <c r="I102" t="inlineStr">
        <is>
          <t>Indicates whether or not a prospective consumer will require an appointment for a particular service at a site to be provided by the Organization. Indicates if an appointment is required for access to this service.</t>
        </is>
      </c>
      <c r="J102" t="inlineStr">
        <is>
          <t>http://hl7.org/fhir/StructureDefinition/HealthcareService</t>
        </is>
      </c>
      <c r="K102" t="inlineStr"/>
      <c r="L102" t="inlineStr">
        <is>
          <t>needs_new_semantic</t>
        </is>
      </c>
    </row>
    <row r="103">
      <c r="A103" t="inlineStr">
        <is>
          <t>admin_core</t>
        </is>
      </c>
      <c r="B103" t="inlineStr">
        <is>
          <t>R5</t>
        </is>
      </c>
      <c r="C103" t="inlineStr">
        <is>
          <t>HealthcareService</t>
        </is>
      </c>
      <c r="D103" t="inlineStr">
        <is>
          <t>HealthcareService.availability</t>
        </is>
      </c>
      <c r="E103" t="inlineStr">
        <is>
          <t>Availability</t>
        </is>
      </c>
      <c r="F103" t="inlineStr">
        <is>
          <t>0..*</t>
        </is>
      </c>
      <c r="G103" t="inlineStr">
        <is>
          <t>False</t>
        </is>
      </c>
      <c r="H103" t="inlineStr">
        <is>
          <t>http://hl7.org/fhir/StructureDefinition/HealthcareService</t>
        </is>
      </c>
      <c r="I103" t="inlineStr">
        <is>
          <t>A collection of times that the healthcare service is available.</t>
        </is>
      </c>
      <c r="J103" t="inlineStr">
        <is>
          <t>http://hl7.org/fhir/StructureDefinition/HealthcareService</t>
        </is>
      </c>
      <c r="K103" t="inlineStr"/>
      <c r="L103" t="inlineStr">
        <is>
          <t>needs_new_semantic</t>
        </is>
      </c>
    </row>
    <row r="104">
      <c r="A104" t="inlineStr">
        <is>
          <t>admin_core</t>
        </is>
      </c>
      <c r="B104" t="inlineStr">
        <is>
          <t>R5</t>
        </is>
      </c>
      <c r="C104" t="inlineStr">
        <is>
          <t>HealthcareService</t>
        </is>
      </c>
      <c r="D104" t="inlineStr">
        <is>
          <t>HealthcareService.category</t>
        </is>
      </c>
      <c r="E104" t="inlineStr">
        <is>
          <t>CodeableConcept</t>
        </is>
      </c>
      <c r="F104" t="inlineStr">
        <is>
          <t>0..*</t>
        </is>
      </c>
      <c r="G104" t="inlineStr">
        <is>
          <t>False</t>
        </is>
      </c>
      <c r="H104" t="inlineStr">
        <is>
          <t>http://hl7.org/fhir/StructureDefinition/HealthcareService</t>
        </is>
      </c>
      <c r="I104" t="inlineStr">
        <is>
          <t>Identifies the broad category of service being performed or delivered.</t>
        </is>
      </c>
      <c r="J104" t="inlineStr">
        <is>
          <t>http://hl7.org/fhir/StructureDefinition/HealthcareService</t>
        </is>
      </c>
      <c r="K104" t="inlineStr"/>
      <c r="L104" t="inlineStr">
        <is>
          <t>needs_new_semantic</t>
        </is>
      </c>
    </row>
    <row r="105">
      <c r="A105" t="inlineStr">
        <is>
          <t>admin_core</t>
        </is>
      </c>
      <c r="B105" t="inlineStr">
        <is>
          <t>R5</t>
        </is>
      </c>
      <c r="C105" t="inlineStr">
        <is>
          <t>HealthcareService</t>
        </is>
      </c>
      <c r="D105" t="inlineStr">
        <is>
          <t>HealthcareService.characteristic</t>
        </is>
      </c>
      <c r="E105" t="inlineStr">
        <is>
          <t>CodeableConcept</t>
        </is>
      </c>
      <c r="F105" t="inlineStr">
        <is>
          <t>0..*</t>
        </is>
      </c>
      <c r="G105" t="inlineStr">
        <is>
          <t>False</t>
        </is>
      </c>
      <c r="H105" t="inlineStr">
        <is>
          <t>http://hl7.org/fhir/StructureDefinition/HealthcareService</t>
        </is>
      </c>
      <c r="I105" t="inlineStr">
        <is>
          <t>Collection of characteristics (attributes).</t>
        </is>
      </c>
      <c r="J105" t="inlineStr">
        <is>
          <t>http://hl7.org/fhir/StructureDefinition/HealthcareService</t>
        </is>
      </c>
      <c r="K105" t="inlineStr"/>
      <c r="L105" t="inlineStr">
        <is>
          <t>needs_new_semantic</t>
        </is>
      </c>
    </row>
    <row r="106">
      <c r="A106" t="inlineStr">
        <is>
          <t>admin_core</t>
        </is>
      </c>
      <c r="B106" t="inlineStr">
        <is>
          <t>R5</t>
        </is>
      </c>
      <c r="C106" t="inlineStr">
        <is>
          <t>HealthcareService</t>
        </is>
      </c>
      <c r="D106" t="inlineStr">
        <is>
          <t>HealthcareService.comment</t>
        </is>
      </c>
      <c r="E106" t="inlineStr">
        <is>
          <t>markdown</t>
        </is>
      </c>
      <c r="F106" t="inlineStr">
        <is>
          <t>0..1</t>
        </is>
      </c>
      <c r="G106" t="inlineStr">
        <is>
          <t>False</t>
        </is>
      </c>
      <c r="H106" t="inlineStr">
        <is>
          <t>http://hl7.org/fhir/StructureDefinition/HealthcareService</t>
        </is>
      </c>
      <c r="I106" t="inlineStr">
        <is>
          <t>Any additional description of the service and/or any specific issues not covered by the other attributes, which can be displayed as further detail under the serviceName.</t>
        </is>
      </c>
      <c r="J106" t="inlineStr">
        <is>
          <t>http://hl7.org/fhir/StructureDefinition/HealthcareService</t>
        </is>
      </c>
      <c r="K106" t="inlineStr"/>
      <c r="L106" t="inlineStr">
        <is>
          <t>needs_new_semantic</t>
        </is>
      </c>
    </row>
    <row r="107">
      <c r="A107" t="inlineStr">
        <is>
          <t>admin_core</t>
        </is>
      </c>
      <c r="B107" t="inlineStr">
        <is>
          <t>R5</t>
        </is>
      </c>
      <c r="C107" t="inlineStr">
        <is>
          <t>HealthcareService</t>
        </is>
      </c>
      <c r="D107" t="inlineStr">
        <is>
          <t>HealthcareService.communication</t>
        </is>
      </c>
      <c r="E107" t="inlineStr">
        <is>
          <t>CodeableConcept</t>
        </is>
      </c>
      <c r="F107" t="inlineStr">
        <is>
          <t>0..*</t>
        </is>
      </c>
      <c r="G107" t="inlineStr">
        <is>
          <t>False</t>
        </is>
      </c>
      <c r="H107" t="inlineStr">
        <is>
          <t>http://hl7.org/fhir/StructureDefinition/HealthcareService</t>
        </is>
      </c>
      <c r="I107" t="inlineStr">
        <is>
          <t>Some services are specifically made available in multiple languages, this property permits a directory to declare the languages this is offered in. Typically this is only provided where a service operates in communities with mixed languages used.</t>
        </is>
      </c>
      <c r="J107" t="inlineStr">
        <is>
          <t>http://hl7.org/fhir/StructureDefinition/HealthcareService</t>
        </is>
      </c>
      <c r="K107" t="inlineStr"/>
      <c r="L107" t="inlineStr">
        <is>
          <t>needs_new_semantic</t>
        </is>
      </c>
    </row>
    <row r="108">
      <c r="A108" t="inlineStr">
        <is>
          <t>admin_core</t>
        </is>
      </c>
      <c r="B108" t="inlineStr">
        <is>
          <t>R5</t>
        </is>
      </c>
      <c r="C108" t="inlineStr">
        <is>
          <t>HealthcareService</t>
        </is>
      </c>
      <c r="D108" t="inlineStr">
        <is>
          <t>HealthcareService.contact</t>
        </is>
      </c>
      <c r="E108" t="inlineStr">
        <is>
          <t>ExtendedContactDetail</t>
        </is>
      </c>
      <c r="F108" t="inlineStr">
        <is>
          <t>0..*</t>
        </is>
      </c>
      <c r="G108" t="inlineStr">
        <is>
          <t>False</t>
        </is>
      </c>
      <c r="H108" t="inlineStr">
        <is>
          <t>http://hl7.org/fhir/StructureDefinition/HealthcareService</t>
        </is>
      </c>
      <c r="I108" t="inlineStr">
        <is>
          <t>The contact details of communication devices available relevant to the specific HealthcareService. This can include addresses, phone numbers, fax numbers, mobile numbers, email addresses and web sites.</t>
        </is>
      </c>
      <c r="J108" t="inlineStr">
        <is>
          <t>http://hl7.org/fhir/StructureDefinition/HealthcareService</t>
        </is>
      </c>
      <c r="K108" t="inlineStr"/>
      <c r="L108" t="inlineStr">
        <is>
          <t>needs_new_semantic</t>
        </is>
      </c>
    </row>
    <row r="109">
      <c r="A109" t="inlineStr">
        <is>
          <t>admin_core</t>
        </is>
      </c>
      <c r="B109" t="inlineStr">
        <is>
          <t>R5</t>
        </is>
      </c>
      <c r="C109" t="inlineStr">
        <is>
          <t>HealthcareService</t>
        </is>
      </c>
      <c r="D109" t="inlineStr">
        <is>
          <t>HealthcareService.contained</t>
        </is>
      </c>
      <c r="E109" t="inlineStr">
        <is>
          <t>Resource</t>
        </is>
      </c>
      <c r="F109" t="inlineStr">
        <is>
          <t>0..*</t>
        </is>
      </c>
      <c r="G109" t="inlineStr">
        <is>
          <t>False</t>
        </is>
      </c>
      <c r="H109" t="inlineStr">
        <is>
          <t>http://hl7.org/fhir/StructureDefinition/HealthcareService</t>
        </is>
      </c>
      <c r="I109"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109" t="inlineStr">
        <is>
          <t>http://hl7.org/fhir/StructureDefinition/HealthcareService</t>
        </is>
      </c>
      <c r="K109" t="inlineStr"/>
      <c r="L109" t="inlineStr">
        <is>
          <t>needs_new_semantic</t>
        </is>
      </c>
    </row>
    <row r="110">
      <c r="A110" t="inlineStr">
        <is>
          <t>admin_core</t>
        </is>
      </c>
      <c r="B110" t="inlineStr">
        <is>
          <t>R5</t>
        </is>
      </c>
      <c r="C110" t="inlineStr">
        <is>
          <t>HealthcareService</t>
        </is>
      </c>
      <c r="D110" t="inlineStr">
        <is>
          <t>HealthcareService.coverageArea</t>
        </is>
      </c>
      <c r="E110" t="inlineStr">
        <is>
          <t>Reference</t>
        </is>
      </c>
      <c r="F110" t="inlineStr">
        <is>
          <t>0..*</t>
        </is>
      </c>
      <c r="G110" t="inlineStr">
        <is>
          <t>False</t>
        </is>
      </c>
      <c r="H110" t="inlineStr">
        <is>
          <t>http://hl7.org/fhir/StructureDefinition/HealthcareService</t>
        </is>
      </c>
      <c r="I110" t="inlineStr">
        <is>
          <t>The location(s) that this service is available to (not where the service is provided).</t>
        </is>
      </c>
      <c r="J110" t="inlineStr">
        <is>
          <t>http://hl7.org/fhir/StructureDefinition/HealthcareService</t>
        </is>
      </c>
      <c r="K110" t="inlineStr"/>
      <c r="L110" t="inlineStr">
        <is>
          <t>needs_new_semantic</t>
        </is>
      </c>
    </row>
    <row r="111">
      <c r="A111" t="inlineStr">
        <is>
          <t>admin_core</t>
        </is>
      </c>
      <c r="B111" t="inlineStr">
        <is>
          <t>R5</t>
        </is>
      </c>
      <c r="C111" t="inlineStr">
        <is>
          <t>HealthcareService</t>
        </is>
      </c>
      <c r="D111" t="inlineStr">
        <is>
          <t>HealthcareService.eligibility</t>
        </is>
      </c>
      <c r="E111" t="inlineStr">
        <is>
          <t>BackboneElement</t>
        </is>
      </c>
      <c r="F111" t="inlineStr">
        <is>
          <t>0..*</t>
        </is>
      </c>
      <c r="G111" t="inlineStr">
        <is>
          <t>False</t>
        </is>
      </c>
      <c r="H111" t="inlineStr">
        <is>
          <t>http://hl7.org/fhir/StructureDefinition/HealthcareService</t>
        </is>
      </c>
      <c r="I111" t="inlineStr">
        <is>
          <t>Does this service have specific eligibility requirements that need to be met in order to use the service?</t>
        </is>
      </c>
      <c r="J111" t="inlineStr">
        <is>
          <t>http://hl7.org/fhir/StructureDefinition/HealthcareService</t>
        </is>
      </c>
      <c r="K111" t="inlineStr"/>
      <c r="L111" t="inlineStr">
        <is>
          <t>needs_new_semantic</t>
        </is>
      </c>
    </row>
    <row r="112">
      <c r="A112" t="inlineStr">
        <is>
          <t>admin_core</t>
        </is>
      </c>
      <c r="B112" t="inlineStr">
        <is>
          <t>R5</t>
        </is>
      </c>
      <c r="C112" t="inlineStr">
        <is>
          <t>HealthcareService</t>
        </is>
      </c>
      <c r="D112" t="inlineStr">
        <is>
          <t>HealthcareService.eligibility.code</t>
        </is>
      </c>
      <c r="E112" t="inlineStr">
        <is>
          <t>CodeableConcept</t>
        </is>
      </c>
      <c r="F112" t="inlineStr">
        <is>
          <t>0..1</t>
        </is>
      </c>
      <c r="G112" t="inlineStr">
        <is>
          <t>False</t>
        </is>
      </c>
      <c r="H112" t="inlineStr">
        <is>
          <t>http://hl7.org/fhir/StructureDefinition/HealthcareService</t>
        </is>
      </c>
      <c r="I112" t="inlineStr">
        <is>
          <t>Coded value for the eligibility.</t>
        </is>
      </c>
      <c r="J112" t="inlineStr">
        <is>
          <t>http://hl7.org/fhir/StructureDefinition/HealthcareService</t>
        </is>
      </c>
      <c r="K112" t="inlineStr"/>
      <c r="L112" t="inlineStr">
        <is>
          <t>needs_new_semantic</t>
        </is>
      </c>
    </row>
    <row r="113">
      <c r="A113" t="inlineStr">
        <is>
          <t>admin_core</t>
        </is>
      </c>
      <c r="B113" t="inlineStr">
        <is>
          <t>R5</t>
        </is>
      </c>
      <c r="C113" t="inlineStr">
        <is>
          <t>HealthcareService</t>
        </is>
      </c>
      <c r="D113" t="inlineStr">
        <is>
          <t>HealthcareService.eligibility.comment</t>
        </is>
      </c>
      <c r="E113" t="inlineStr">
        <is>
          <t>markdown</t>
        </is>
      </c>
      <c r="F113" t="inlineStr">
        <is>
          <t>0..1</t>
        </is>
      </c>
      <c r="G113" t="inlineStr">
        <is>
          <t>False</t>
        </is>
      </c>
      <c r="H113" t="inlineStr">
        <is>
          <t>http://hl7.org/fhir/StructureDefinition/HealthcareService</t>
        </is>
      </c>
      <c r="I113" t="inlineStr">
        <is>
          <t>Describes the eligibility conditions for the service.</t>
        </is>
      </c>
      <c r="J113" t="inlineStr">
        <is>
          <t>http://hl7.org/fhir/StructureDefinition/HealthcareService</t>
        </is>
      </c>
      <c r="K113" t="inlineStr"/>
      <c r="L113" t="inlineStr">
        <is>
          <t>needs_new_semantic</t>
        </is>
      </c>
    </row>
    <row r="114">
      <c r="A114" t="inlineStr">
        <is>
          <t>admin_core</t>
        </is>
      </c>
      <c r="B114" t="inlineStr">
        <is>
          <t>R5</t>
        </is>
      </c>
      <c r="C114" t="inlineStr">
        <is>
          <t>HealthcareService</t>
        </is>
      </c>
      <c r="D114" t="inlineStr">
        <is>
          <t>HealthcareService.eligibility.extension</t>
        </is>
      </c>
      <c r="E114" t="inlineStr">
        <is>
          <t>Extension</t>
        </is>
      </c>
      <c r="F114" t="inlineStr">
        <is>
          <t>0..*</t>
        </is>
      </c>
      <c r="G114" t="inlineStr"/>
      <c r="H114" t="inlineStr">
        <is>
          <t>http://hl7.org/fhir/StructureDefinition/HealthcareService</t>
        </is>
      </c>
      <c r="I114"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14" t="inlineStr">
        <is>
          <t>http://hl7.org/fhir/StructureDefinition/HealthcareService</t>
        </is>
      </c>
      <c r="K114" t="inlineStr"/>
      <c r="L114" t="inlineStr">
        <is>
          <t>needs_new_semantic</t>
        </is>
      </c>
    </row>
    <row r="115">
      <c r="A115" t="inlineStr">
        <is>
          <t>admin_core</t>
        </is>
      </c>
      <c r="B115" t="inlineStr">
        <is>
          <t>R5</t>
        </is>
      </c>
      <c r="C115" t="inlineStr">
        <is>
          <t>HealthcareService</t>
        </is>
      </c>
      <c r="D115" t="inlineStr">
        <is>
          <t>HealthcareService.eligibility.id</t>
        </is>
      </c>
      <c r="E115" t="inlineStr">
        <is>
          <t>http://hl7.org/fhirpath/System.String</t>
        </is>
      </c>
      <c r="F115" t="inlineStr">
        <is>
          <t>0..1</t>
        </is>
      </c>
      <c r="G115" t="inlineStr"/>
      <c r="H115" t="inlineStr">
        <is>
          <t>http://hl7.org/fhir/StructureDefinition/HealthcareService</t>
        </is>
      </c>
      <c r="I115" t="inlineStr">
        <is>
          <t>Unique id for the element within a resource (for internal references). This may be any string value that does not contain spaces.</t>
        </is>
      </c>
      <c r="J115" t="inlineStr">
        <is>
          <t>http://hl7.org/fhir/StructureDefinition/HealthcareService</t>
        </is>
      </c>
      <c r="K115" t="inlineStr"/>
      <c r="L115" t="inlineStr">
        <is>
          <t>needs_new_semantic</t>
        </is>
      </c>
    </row>
    <row r="116">
      <c r="A116" t="inlineStr">
        <is>
          <t>admin_core</t>
        </is>
      </c>
      <c r="B116" t="inlineStr">
        <is>
          <t>R5</t>
        </is>
      </c>
      <c r="C116" t="inlineStr">
        <is>
          <t>HealthcareService</t>
        </is>
      </c>
      <c r="D116" t="inlineStr">
        <is>
          <t>HealthcareService.eligibility.modifierExtension</t>
        </is>
      </c>
      <c r="E116" t="inlineStr">
        <is>
          <t>Extension</t>
        </is>
      </c>
      <c r="F116" t="inlineStr">
        <is>
          <t>0..*</t>
        </is>
      </c>
      <c r="G116" t="inlineStr"/>
      <c r="H116" t="inlineStr">
        <is>
          <t>http://hl7.org/fhir/StructureDefinition/HealthcareService</t>
        </is>
      </c>
      <c r="I116"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16" t="inlineStr">
        <is>
          <t>http://hl7.org/fhir/StructureDefinition/HealthcareService</t>
        </is>
      </c>
      <c r="K116" t="inlineStr"/>
      <c r="L116" t="inlineStr">
        <is>
          <t>needs_new_semantic</t>
        </is>
      </c>
    </row>
    <row r="117">
      <c r="A117" t="inlineStr">
        <is>
          <t>admin_core</t>
        </is>
      </c>
      <c r="B117" t="inlineStr">
        <is>
          <t>R5</t>
        </is>
      </c>
      <c r="C117" t="inlineStr">
        <is>
          <t>HealthcareService</t>
        </is>
      </c>
      <c r="D117" t="inlineStr">
        <is>
          <t>HealthcareService.endpoint</t>
        </is>
      </c>
      <c r="E117" t="inlineStr">
        <is>
          <t>Reference</t>
        </is>
      </c>
      <c r="F117" t="inlineStr">
        <is>
          <t>0..*</t>
        </is>
      </c>
      <c r="G117" t="inlineStr">
        <is>
          <t>False</t>
        </is>
      </c>
      <c r="H117" t="inlineStr">
        <is>
          <t>http://hl7.org/fhir/StructureDefinition/HealthcareService</t>
        </is>
      </c>
      <c r="I117" t="inlineStr">
        <is>
          <t>Technical endpoints providing access to services operated for the specific healthcare services defined at this resource.</t>
        </is>
      </c>
      <c r="J117" t="inlineStr">
        <is>
          <t>http://hl7.org/fhir/StructureDefinition/HealthcareService</t>
        </is>
      </c>
      <c r="K117" t="inlineStr"/>
      <c r="L117" t="inlineStr">
        <is>
          <t>needs_new_semantic</t>
        </is>
      </c>
    </row>
    <row r="118">
      <c r="A118" t="inlineStr">
        <is>
          <t>admin_core</t>
        </is>
      </c>
      <c r="B118" t="inlineStr">
        <is>
          <t>R5</t>
        </is>
      </c>
      <c r="C118" t="inlineStr">
        <is>
          <t>HealthcareService</t>
        </is>
      </c>
      <c r="D118" t="inlineStr">
        <is>
          <t>HealthcareService.extension</t>
        </is>
      </c>
      <c r="E118" t="inlineStr">
        <is>
          <t>Extension</t>
        </is>
      </c>
      <c r="F118" t="inlineStr">
        <is>
          <t>0..*</t>
        </is>
      </c>
      <c r="G118" t="inlineStr">
        <is>
          <t>False</t>
        </is>
      </c>
      <c r="H118" t="inlineStr">
        <is>
          <t>http://hl7.org/fhir/StructureDefinition/HealthcareService</t>
        </is>
      </c>
      <c r="I118"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18" t="inlineStr">
        <is>
          <t>http://hl7.org/fhir/StructureDefinition/HealthcareService</t>
        </is>
      </c>
      <c r="K118" t="inlineStr"/>
      <c r="L118" t="inlineStr">
        <is>
          <t>needs_new_semantic</t>
        </is>
      </c>
    </row>
    <row r="119">
      <c r="A119" t="inlineStr">
        <is>
          <t>admin_core</t>
        </is>
      </c>
      <c r="B119" t="inlineStr">
        <is>
          <t>R5</t>
        </is>
      </c>
      <c r="C119" t="inlineStr">
        <is>
          <t>HealthcareService</t>
        </is>
      </c>
      <c r="D119" t="inlineStr">
        <is>
          <t>HealthcareService.extraDetails</t>
        </is>
      </c>
      <c r="E119" t="inlineStr">
        <is>
          <t>markdown</t>
        </is>
      </c>
      <c r="F119" t="inlineStr">
        <is>
          <t>0..1</t>
        </is>
      </c>
      <c r="G119" t="inlineStr">
        <is>
          <t>False</t>
        </is>
      </c>
      <c r="H119" t="inlineStr">
        <is>
          <t>http://hl7.org/fhir/StructureDefinition/HealthcareService</t>
        </is>
      </c>
      <c r="I119" t="inlineStr">
        <is>
          <t>Extra details about the service that can't be placed in the other fields.</t>
        </is>
      </c>
      <c r="J119" t="inlineStr">
        <is>
          <t>http://hl7.org/fhir/StructureDefinition/HealthcareService</t>
        </is>
      </c>
      <c r="K119" t="inlineStr"/>
      <c r="L119" t="inlineStr">
        <is>
          <t>needs_new_semantic</t>
        </is>
      </c>
    </row>
    <row r="120">
      <c r="A120" t="inlineStr">
        <is>
          <t>admin_core</t>
        </is>
      </c>
      <c r="B120" t="inlineStr">
        <is>
          <t>R5</t>
        </is>
      </c>
      <c r="C120" t="inlineStr">
        <is>
          <t>HealthcareService</t>
        </is>
      </c>
      <c r="D120" t="inlineStr">
        <is>
          <t>HealthcareService.id</t>
        </is>
      </c>
      <c r="E120" t="inlineStr">
        <is>
          <t>http://hl7.org/fhirpath/System.String</t>
        </is>
      </c>
      <c r="F120" t="inlineStr">
        <is>
          <t>0..1</t>
        </is>
      </c>
      <c r="G120" t="inlineStr">
        <is>
          <t>False</t>
        </is>
      </c>
      <c r="H120" t="inlineStr">
        <is>
          <t>http://hl7.org/fhir/StructureDefinition/HealthcareService</t>
        </is>
      </c>
      <c r="I120" t="inlineStr">
        <is>
          <t>The logical id of the resource, as used in the URL for the resource. Once assigned, this value never changes.</t>
        </is>
      </c>
      <c r="J120" t="inlineStr">
        <is>
          <t>http://hl7.org/fhir/StructureDefinition/HealthcareService</t>
        </is>
      </c>
      <c r="K120" t="inlineStr"/>
      <c r="L120" t="inlineStr">
        <is>
          <t>needs_new_semantic</t>
        </is>
      </c>
    </row>
    <row r="121">
      <c r="A121" t="inlineStr">
        <is>
          <t>admin_core</t>
        </is>
      </c>
      <c r="B121" t="inlineStr">
        <is>
          <t>R5</t>
        </is>
      </c>
      <c r="C121" t="inlineStr">
        <is>
          <t>HealthcareService</t>
        </is>
      </c>
      <c r="D121" t="inlineStr">
        <is>
          <t>HealthcareService.identifier</t>
        </is>
      </c>
      <c r="E121" t="inlineStr">
        <is>
          <t>Identifier</t>
        </is>
      </c>
      <c r="F121" t="inlineStr">
        <is>
          <t>0..*</t>
        </is>
      </c>
      <c r="G121" t="inlineStr">
        <is>
          <t>False</t>
        </is>
      </c>
      <c r="H121" t="inlineStr">
        <is>
          <t>http://hl7.org/fhir/StructureDefinition/HealthcareService</t>
        </is>
      </c>
      <c r="I121" t="inlineStr">
        <is>
          <t>External identifiers for this item.</t>
        </is>
      </c>
      <c r="J121" t="inlineStr">
        <is>
          <t>http://hl7.org/fhir/StructureDefinition/HealthcareService</t>
        </is>
      </c>
      <c r="K121" t="inlineStr"/>
      <c r="L121" t="inlineStr">
        <is>
          <t>needs_new_semantic</t>
        </is>
      </c>
    </row>
    <row r="122">
      <c r="A122" t="inlineStr">
        <is>
          <t>admin_core</t>
        </is>
      </c>
      <c r="B122" t="inlineStr">
        <is>
          <t>R5</t>
        </is>
      </c>
      <c r="C122" t="inlineStr">
        <is>
          <t>HealthcareService</t>
        </is>
      </c>
      <c r="D122" t="inlineStr">
        <is>
          <t>HealthcareService.implicitRules</t>
        </is>
      </c>
      <c r="E122" t="inlineStr">
        <is>
          <t>uri</t>
        </is>
      </c>
      <c r="F122" t="inlineStr">
        <is>
          <t>0..1</t>
        </is>
      </c>
      <c r="G122" t="inlineStr">
        <is>
          <t>False</t>
        </is>
      </c>
      <c r="H122" t="inlineStr">
        <is>
          <t>http://hl7.org/fhir/StructureDefinition/HealthcareService</t>
        </is>
      </c>
      <c r="I122"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122" t="inlineStr">
        <is>
          <t>http://hl7.org/fhir/StructureDefinition/HealthcareService</t>
        </is>
      </c>
      <c r="K122" t="inlineStr"/>
      <c r="L122" t="inlineStr">
        <is>
          <t>needs_new_semantic</t>
        </is>
      </c>
    </row>
    <row r="123">
      <c r="A123" t="inlineStr">
        <is>
          <t>admin_core</t>
        </is>
      </c>
      <c r="B123" t="inlineStr">
        <is>
          <t>R5</t>
        </is>
      </c>
      <c r="C123" t="inlineStr">
        <is>
          <t>HealthcareService</t>
        </is>
      </c>
      <c r="D123" t="inlineStr">
        <is>
          <t>HealthcareService.language</t>
        </is>
      </c>
      <c r="E123" t="inlineStr">
        <is>
          <t>code</t>
        </is>
      </c>
      <c r="F123" t="inlineStr">
        <is>
          <t>0..1</t>
        </is>
      </c>
      <c r="G123" t="inlineStr">
        <is>
          <t>False</t>
        </is>
      </c>
      <c r="H123" t="inlineStr">
        <is>
          <t>http://hl7.org/fhir/StructureDefinition/HealthcareService</t>
        </is>
      </c>
      <c r="I123" t="inlineStr">
        <is>
          <t>The base language in which the resource is written.</t>
        </is>
      </c>
      <c r="J123" t="inlineStr">
        <is>
          <t>http://hl7.org/fhir/StructureDefinition/HealthcareService</t>
        </is>
      </c>
      <c r="K123" t="inlineStr"/>
      <c r="L123" t="inlineStr">
        <is>
          <t>needs_new_semantic</t>
        </is>
      </c>
    </row>
    <row r="124">
      <c r="A124" t="inlineStr">
        <is>
          <t>admin_core</t>
        </is>
      </c>
      <c r="B124" t="inlineStr">
        <is>
          <t>R5</t>
        </is>
      </c>
      <c r="C124" t="inlineStr">
        <is>
          <t>HealthcareService</t>
        </is>
      </c>
      <c r="D124" t="inlineStr">
        <is>
          <t>HealthcareService.location</t>
        </is>
      </c>
      <c r="E124" t="inlineStr">
        <is>
          <t>Reference</t>
        </is>
      </c>
      <c r="F124" t="inlineStr">
        <is>
          <t>0..*</t>
        </is>
      </c>
      <c r="G124" t="inlineStr">
        <is>
          <t>False</t>
        </is>
      </c>
      <c r="H124" t="inlineStr">
        <is>
          <t>http://hl7.org/fhir/StructureDefinition/HealthcareService</t>
        </is>
      </c>
      <c r="I124" t="inlineStr">
        <is>
          <t>The location(s) where this healthcare service may be provided.</t>
        </is>
      </c>
      <c r="J124" t="inlineStr">
        <is>
          <t>http://hl7.org/fhir/StructureDefinition/HealthcareService</t>
        </is>
      </c>
      <c r="K124" t="inlineStr"/>
      <c r="L124" t="inlineStr">
        <is>
          <t>needs_new_semantic</t>
        </is>
      </c>
    </row>
    <row r="125">
      <c r="A125" t="inlineStr">
        <is>
          <t>admin_core</t>
        </is>
      </c>
      <c r="B125" t="inlineStr">
        <is>
          <t>R5</t>
        </is>
      </c>
      <c r="C125" t="inlineStr">
        <is>
          <t>HealthcareService</t>
        </is>
      </c>
      <c r="D125" t="inlineStr">
        <is>
          <t>HealthcareService.meta</t>
        </is>
      </c>
      <c r="E125" t="inlineStr">
        <is>
          <t>Meta</t>
        </is>
      </c>
      <c r="F125" t="inlineStr">
        <is>
          <t>0..1</t>
        </is>
      </c>
      <c r="G125" t="inlineStr">
        <is>
          <t>False</t>
        </is>
      </c>
      <c r="H125" t="inlineStr">
        <is>
          <t>http://hl7.org/fhir/StructureDefinition/HealthcareService</t>
        </is>
      </c>
      <c r="I125" t="inlineStr">
        <is>
          <t>The metadata about the resource. This is content that is maintained by the infrastructure. Changes to the content might not always be associated with version changes to the resource.</t>
        </is>
      </c>
      <c r="J125" t="inlineStr">
        <is>
          <t>http://hl7.org/fhir/StructureDefinition/HealthcareService</t>
        </is>
      </c>
      <c r="K125" t="inlineStr"/>
      <c r="L125" t="inlineStr">
        <is>
          <t>needs_new_semantic</t>
        </is>
      </c>
    </row>
    <row r="126">
      <c r="A126" t="inlineStr">
        <is>
          <t>admin_core</t>
        </is>
      </c>
      <c r="B126" t="inlineStr">
        <is>
          <t>R5</t>
        </is>
      </c>
      <c r="C126" t="inlineStr">
        <is>
          <t>HealthcareService</t>
        </is>
      </c>
      <c r="D126" t="inlineStr">
        <is>
          <t>HealthcareService.modifierExtension</t>
        </is>
      </c>
      <c r="E126" t="inlineStr">
        <is>
          <t>Extension</t>
        </is>
      </c>
      <c r="F126" t="inlineStr">
        <is>
          <t>0..*</t>
        </is>
      </c>
      <c r="G126" t="inlineStr">
        <is>
          <t>False</t>
        </is>
      </c>
      <c r="H126" t="inlineStr">
        <is>
          <t>http://hl7.org/fhir/StructureDefinition/HealthcareService</t>
        </is>
      </c>
      <c r="I126"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26" t="inlineStr">
        <is>
          <t>http://hl7.org/fhir/StructureDefinition/HealthcareService</t>
        </is>
      </c>
      <c r="K126" t="inlineStr"/>
      <c r="L126" t="inlineStr">
        <is>
          <t>needs_new_semantic</t>
        </is>
      </c>
    </row>
    <row r="127">
      <c r="A127" t="inlineStr">
        <is>
          <t>admin_core</t>
        </is>
      </c>
      <c r="B127" t="inlineStr">
        <is>
          <t>R5</t>
        </is>
      </c>
      <c r="C127" t="inlineStr">
        <is>
          <t>HealthcareService</t>
        </is>
      </c>
      <c r="D127" t="inlineStr">
        <is>
          <t>HealthcareService.name</t>
        </is>
      </c>
      <c r="E127" t="inlineStr">
        <is>
          <t>string</t>
        </is>
      </c>
      <c r="F127" t="inlineStr">
        <is>
          <t>0..1</t>
        </is>
      </c>
      <c r="G127" t="inlineStr">
        <is>
          <t>False</t>
        </is>
      </c>
      <c r="H127" t="inlineStr">
        <is>
          <t>http://hl7.org/fhir/StructureDefinition/HealthcareService</t>
        </is>
      </c>
      <c r="I127" t="inlineStr">
        <is>
          <t>Further description of the service as it would be presented to a consumer while searching.</t>
        </is>
      </c>
      <c r="J127" t="inlineStr">
        <is>
          <t>http://hl7.org/fhir/StructureDefinition/HealthcareService</t>
        </is>
      </c>
      <c r="K127" t="inlineStr"/>
      <c r="L127" t="inlineStr">
        <is>
          <t>needs_new_semantic</t>
        </is>
      </c>
    </row>
    <row r="128">
      <c r="A128" t="inlineStr">
        <is>
          <t>admin_core</t>
        </is>
      </c>
      <c r="B128" t="inlineStr">
        <is>
          <t>R5</t>
        </is>
      </c>
      <c r="C128" t="inlineStr">
        <is>
          <t>HealthcareService</t>
        </is>
      </c>
      <c r="D128" t="inlineStr">
        <is>
          <t>HealthcareService.offeredIn</t>
        </is>
      </c>
      <c r="E128" t="inlineStr">
        <is>
          <t>Reference</t>
        </is>
      </c>
      <c r="F128" t="inlineStr">
        <is>
          <t>0..*</t>
        </is>
      </c>
      <c r="G128" t="inlineStr">
        <is>
          <t>False</t>
        </is>
      </c>
      <c r="H128" t="inlineStr">
        <is>
          <t>http://hl7.org/fhir/StructureDefinition/HealthcareService</t>
        </is>
      </c>
      <c r="I128" t="inlineStr">
        <is>
          <t>When the HealthcareService is representing a specific, schedulable service, the availableIn property can refer to a generic service.</t>
        </is>
      </c>
      <c r="J128" t="inlineStr">
        <is>
          <t>http://hl7.org/fhir/StructureDefinition/HealthcareService</t>
        </is>
      </c>
      <c r="K128" t="inlineStr"/>
      <c r="L128" t="inlineStr">
        <is>
          <t>needs_new_semantic</t>
        </is>
      </c>
    </row>
    <row r="129">
      <c r="A129" t="inlineStr">
        <is>
          <t>admin_core</t>
        </is>
      </c>
      <c r="B129" t="inlineStr">
        <is>
          <t>R5</t>
        </is>
      </c>
      <c r="C129" t="inlineStr">
        <is>
          <t>HealthcareService</t>
        </is>
      </c>
      <c r="D129" t="inlineStr">
        <is>
          <t>HealthcareService.photo</t>
        </is>
      </c>
      <c r="E129" t="inlineStr">
        <is>
          <t>Attachment</t>
        </is>
      </c>
      <c r="F129" t="inlineStr">
        <is>
          <t>0..1</t>
        </is>
      </c>
      <c r="G129" t="inlineStr">
        <is>
          <t>False</t>
        </is>
      </c>
      <c r="H129" t="inlineStr">
        <is>
          <t>http://hl7.org/fhir/StructureDefinition/HealthcareService</t>
        </is>
      </c>
      <c r="I129" t="inlineStr">
        <is>
          <t>If there is a photo/symbol associated with this HealthcareService, it may be included here to facilitate quick identification of the service in a list.</t>
        </is>
      </c>
      <c r="J129" t="inlineStr">
        <is>
          <t>http://hl7.org/fhir/StructureDefinition/HealthcareService</t>
        </is>
      </c>
      <c r="K129" t="inlineStr"/>
      <c r="L129" t="inlineStr">
        <is>
          <t>needs_new_semantic</t>
        </is>
      </c>
    </row>
    <row r="130">
      <c r="A130" t="inlineStr">
        <is>
          <t>admin_core</t>
        </is>
      </c>
      <c r="B130" t="inlineStr">
        <is>
          <t>R5</t>
        </is>
      </c>
      <c r="C130" t="inlineStr">
        <is>
          <t>HealthcareService</t>
        </is>
      </c>
      <c r="D130" t="inlineStr">
        <is>
          <t>HealthcareService.program</t>
        </is>
      </c>
      <c r="E130" t="inlineStr">
        <is>
          <t>CodeableConcept</t>
        </is>
      </c>
      <c r="F130" t="inlineStr">
        <is>
          <t>0..*</t>
        </is>
      </c>
      <c r="G130" t="inlineStr">
        <is>
          <t>False</t>
        </is>
      </c>
      <c r="H130" t="inlineStr">
        <is>
          <t>http://hl7.org/fhir/StructureDefinition/HealthcareService</t>
        </is>
      </c>
      <c r="I130" t="inlineStr">
        <is>
          <t>Programs that this service is applicable to.</t>
        </is>
      </c>
      <c r="J130" t="inlineStr">
        <is>
          <t>http://hl7.org/fhir/StructureDefinition/HealthcareService</t>
        </is>
      </c>
      <c r="K130" t="inlineStr"/>
      <c r="L130" t="inlineStr">
        <is>
          <t>needs_new_semantic</t>
        </is>
      </c>
    </row>
    <row r="131">
      <c r="A131" t="inlineStr">
        <is>
          <t>admin_core</t>
        </is>
      </c>
      <c r="B131" t="inlineStr">
        <is>
          <t>R5</t>
        </is>
      </c>
      <c r="C131" t="inlineStr">
        <is>
          <t>HealthcareService</t>
        </is>
      </c>
      <c r="D131" t="inlineStr">
        <is>
          <t>HealthcareService.providedBy</t>
        </is>
      </c>
      <c r="E131" t="inlineStr">
        <is>
          <t>Reference</t>
        </is>
      </c>
      <c r="F131" t="inlineStr">
        <is>
          <t>0..1</t>
        </is>
      </c>
      <c r="G131" t="inlineStr">
        <is>
          <t>False</t>
        </is>
      </c>
      <c r="H131" t="inlineStr">
        <is>
          <t>http://hl7.org/fhir/StructureDefinition/HealthcareService</t>
        </is>
      </c>
      <c r="I131" t="inlineStr">
        <is>
          <t>The organization that provides this healthcare service.</t>
        </is>
      </c>
      <c r="J131" t="inlineStr">
        <is>
          <t>http://hl7.org/fhir/StructureDefinition/HealthcareService</t>
        </is>
      </c>
      <c r="K131" t="inlineStr"/>
      <c r="L131" t="inlineStr">
        <is>
          <t>needs_new_semantic</t>
        </is>
      </c>
    </row>
    <row r="132">
      <c r="A132" t="inlineStr">
        <is>
          <t>admin_core</t>
        </is>
      </c>
      <c r="B132" t="inlineStr">
        <is>
          <t>R5</t>
        </is>
      </c>
      <c r="C132" t="inlineStr">
        <is>
          <t>HealthcareService</t>
        </is>
      </c>
      <c r="D132" t="inlineStr">
        <is>
          <t>HealthcareService.referralMethod</t>
        </is>
      </c>
      <c r="E132" t="inlineStr">
        <is>
          <t>CodeableConcept</t>
        </is>
      </c>
      <c r="F132" t="inlineStr">
        <is>
          <t>0..*</t>
        </is>
      </c>
      <c r="G132" t="inlineStr">
        <is>
          <t>False</t>
        </is>
      </c>
      <c r="H132" t="inlineStr">
        <is>
          <t>http://hl7.org/fhir/StructureDefinition/HealthcareService</t>
        </is>
      </c>
      <c r="I132" t="inlineStr">
        <is>
          <t>Ways that the service accepts referrals, if this is not provided then it is implied that no referral is required.</t>
        </is>
      </c>
      <c r="J132" t="inlineStr">
        <is>
          <t>http://hl7.org/fhir/StructureDefinition/HealthcareService</t>
        </is>
      </c>
      <c r="K132" t="inlineStr"/>
      <c r="L132" t="inlineStr">
        <is>
          <t>needs_new_semantic</t>
        </is>
      </c>
    </row>
    <row r="133">
      <c r="A133" t="inlineStr">
        <is>
          <t>admin_core</t>
        </is>
      </c>
      <c r="B133" t="inlineStr">
        <is>
          <t>R5</t>
        </is>
      </c>
      <c r="C133" t="inlineStr">
        <is>
          <t>HealthcareService</t>
        </is>
      </c>
      <c r="D133" t="inlineStr">
        <is>
          <t>HealthcareService.serviceProvisionCode</t>
        </is>
      </c>
      <c r="E133" t="inlineStr">
        <is>
          <t>CodeableConcept</t>
        </is>
      </c>
      <c r="F133" t="inlineStr">
        <is>
          <t>0..*</t>
        </is>
      </c>
      <c r="G133" t="inlineStr">
        <is>
          <t>False</t>
        </is>
      </c>
      <c r="H133" t="inlineStr">
        <is>
          <t>http://hl7.org/fhir/StructureDefinition/HealthcareService</t>
        </is>
      </c>
      <c r="I133" t="inlineStr">
        <is>
          <t>The code(s) that detail the conditions under which the healthcare service is available/offered.</t>
        </is>
      </c>
      <c r="J133" t="inlineStr">
        <is>
          <t>http://hl7.org/fhir/StructureDefinition/HealthcareService</t>
        </is>
      </c>
      <c r="K133" t="inlineStr"/>
      <c r="L133" t="inlineStr">
        <is>
          <t>needs_new_semantic</t>
        </is>
      </c>
    </row>
    <row r="134">
      <c r="A134" t="inlineStr">
        <is>
          <t>admin_core</t>
        </is>
      </c>
      <c r="B134" t="inlineStr">
        <is>
          <t>R5</t>
        </is>
      </c>
      <c r="C134" t="inlineStr">
        <is>
          <t>HealthcareService</t>
        </is>
      </c>
      <c r="D134" t="inlineStr">
        <is>
          <t>HealthcareService.specialty</t>
        </is>
      </c>
      <c r="E134" t="inlineStr">
        <is>
          <t>CodeableConcept</t>
        </is>
      </c>
      <c r="F134" t="inlineStr">
        <is>
          <t>0..*</t>
        </is>
      </c>
      <c r="G134" t="inlineStr">
        <is>
          <t>False</t>
        </is>
      </c>
      <c r="H134" t="inlineStr">
        <is>
          <t>http://hl7.org/fhir/StructureDefinition/HealthcareService</t>
        </is>
      </c>
      <c r="I134" t="inlineStr">
        <is>
          <t>Collection of specialties handled by the Healthcare service. This is more of a medical term.</t>
        </is>
      </c>
      <c r="J134" t="inlineStr">
        <is>
          <t>http://hl7.org/fhir/StructureDefinition/HealthcareService</t>
        </is>
      </c>
      <c r="K134" t="inlineStr"/>
      <c r="L134" t="inlineStr">
        <is>
          <t>needs_new_semantic</t>
        </is>
      </c>
    </row>
    <row r="135">
      <c r="A135" t="inlineStr">
        <is>
          <t>admin_core</t>
        </is>
      </c>
      <c r="B135" t="inlineStr">
        <is>
          <t>R5</t>
        </is>
      </c>
      <c r="C135" t="inlineStr">
        <is>
          <t>HealthcareService</t>
        </is>
      </c>
      <c r="D135" t="inlineStr">
        <is>
          <t>HealthcareService.text</t>
        </is>
      </c>
      <c r="E135" t="inlineStr">
        <is>
          <t>Narrative</t>
        </is>
      </c>
      <c r="F135" t="inlineStr">
        <is>
          <t>0..1</t>
        </is>
      </c>
      <c r="G135" t="inlineStr">
        <is>
          <t>False</t>
        </is>
      </c>
      <c r="H135" t="inlineStr">
        <is>
          <t>http://hl7.org/fhir/StructureDefinition/HealthcareService</t>
        </is>
      </c>
      <c r="I135"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135" t="inlineStr">
        <is>
          <t>http://hl7.org/fhir/StructureDefinition/HealthcareService</t>
        </is>
      </c>
      <c r="K135" t="inlineStr"/>
      <c r="L135" t="inlineStr">
        <is>
          <t>needs_new_semantic</t>
        </is>
      </c>
    </row>
    <row r="136">
      <c r="A136" t="inlineStr">
        <is>
          <t>admin_core</t>
        </is>
      </c>
      <c r="B136" t="inlineStr">
        <is>
          <t>R5</t>
        </is>
      </c>
      <c r="C136" t="inlineStr">
        <is>
          <t>HealthcareService</t>
        </is>
      </c>
      <c r="D136" t="inlineStr">
        <is>
          <t>HealthcareService.type</t>
        </is>
      </c>
      <c r="E136" t="inlineStr">
        <is>
          <t>CodeableConcept</t>
        </is>
      </c>
      <c r="F136" t="inlineStr">
        <is>
          <t>0..*</t>
        </is>
      </c>
      <c r="G136" t="inlineStr">
        <is>
          <t>False</t>
        </is>
      </c>
      <c r="H136" t="inlineStr">
        <is>
          <t>http://hl7.org/fhir/StructureDefinition/HealthcareService</t>
        </is>
      </c>
      <c r="I136" t="inlineStr">
        <is>
          <t>The specific type of service that may be delivered or performed.</t>
        </is>
      </c>
      <c r="J136" t="inlineStr">
        <is>
          <t>http://hl7.org/fhir/StructureDefinition/HealthcareService</t>
        </is>
      </c>
      <c r="K136" t="inlineStr"/>
      <c r="L136" t="inlineStr">
        <is>
          <t>needs_new_semantic</t>
        </is>
      </c>
    </row>
    <row r="137">
      <c r="A137" t="inlineStr">
        <is>
          <t>admin_core</t>
        </is>
      </c>
      <c r="B137" t="inlineStr">
        <is>
          <t>R5</t>
        </is>
      </c>
      <c r="C137" t="inlineStr">
        <is>
          <t>Location</t>
        </is>
      </c>
      <c r="D137" t="inlineStr">
        <is>
          <t>Location.address</t>
        </is>
      </c>
      <c r="E137" t="inlineStr">
        <is>
          <t>Address</t>
        </is>
      </c>
      <c r="F137" t="inlineStr">
        <is>
          <t>0..1</t>
        </is>
      </c>
      <c r="G137" t="inlineStr">
        <is>
          <t>False</t>
        </is>
      </c>
      <c r="H137" t="inlineStr">
        <is>
          <t>http://hl7.org/fhir/StructureDefinition/Location</t>
        </is>
      </c>
      <c r="I137" t="inlineStr">
        <is>
          <t>Physical location.</t>
        </is>
      </c>
      <c r="J137" t="inlineStr">
        <is>
          <t>http://hl7.org/fhir/StructureDefinition/Location</t>
        </is>
      </c>
      <c r="K137" t="inlineStr"/>
      <c r="L137" t="inlineStr">
        <is>
          <t>needs_new_semantic</t>
        </is>
      </c>
    </row>
    <row r="138">
      <c r="A138" t="inlineStr">
        <is>
          <t>admin_core</t>
        </is>
      </c>
      <c r="B138" t="inlineStr">
        <is>
          <t>R5</t>
        </is>
      </c>
      <c r="C138" t="inlineStr">
        <is>
          <t>Location</t>
        </is>
      </c>
      <c r="D138" t="inlineStr">
        <is>
          <t>Location.alias</t>
        </is>
      </c>
      <c r="E138" t="inlineStr">
        <is>
          <t>string</t>
        </is>
      </c>
      <c r="F138" t="inlineStr">
        <is>
          <t>0..*</t>
        </is>
      </c>
      <c r="G138" t="inlineStr">
        <is>
          <t>False</t>
        </is>
      </c>
      <c r="H138" t="inlineStr">
        <is>
          <t>http://hl7.org/fhir/StructureDefinition/Location</t>
        </is>
      </c>
      <c r="I138" t="inlineStr">
        <is>
          <t>A list of alternate names that the location is known as, or was known as, in the past.</t>
        </is>
      </c>
      <c r="J138" t="inlineStr">
        <is>
          <t>http://hl7.org/fhir/StructureDefinition/Location</t>
        </is>
      </c>
      <c r="K138" t="inlineStr"/>
      <c r="L138" t="inlineStr">
        <is>
          <t>needs_new_semantic</t>
        </is>
      </c>
    </row>
    <row r="139">
      <c r="A139" t="inlineStr">
        <is>
          <t>admin_core</t>
        </is>
      </c>
      <c r="B139" t="inlineStr">
        <is>
          <t>R5</t>
        </is>
      </c>
      <c r="C139" t="inlineStr">
        <is>
          <t>Location</t>
        </is>
      </c>
      <c r="D139" t="inlineStr">
        <is>
          <t>Location.characteristic</t>
        </is>
      </c>
      <c r="E139" t="inlineStr">
        <is>
          <t>CodeableConcept</t>
        </is>
      </c>
      <c r="F139" t="inlineStr">
        <is>
          <t>0..*</t>
        </is>
      </c>
      <c r="G139" t="inlineStr">
        <is>
          <t>False</t>
        </is>
      </c>
      <c r="H139" t="inlineStr">
        <is>
          <t>http://hl7.org/fhir/StructureDefinition/Location</t>
        </is>
      </c>
      <c r="I139" t="inlineStr">
        <is>
          <t>Collection of characteristics (attributes).</t>
        </is>
      </c>
      <c r="J139" t="inlineStr">
        <is>
          <t>http://hl7.org/fhir/StructureDefinition/Location</t>
        </is>
      </c>
      <c r="K139" t="inlineStr"/>
      <c r="L139" t="inlineStr">
        <is>
          <t>needs_new_semantic</t>
        </is>
      </c>
    </row>
    <row r="140">
      <c r="A140" t="inlineStr">
        <is>
          <t>admin_core</t>
        </is>
      </c>
      <c r="B140" t="inlineStr">
        <is>
          <t>R5</t>
        </is>
      </c>
      <c r="C140" t="inlineStr">
        <is>
          <t>Location</t>
        </is>
      </c>
      <c r="D140" t="inlineStr">
        <is>
          <t>Location.contact</t>
        </is>
      </c>
      <c r="E140" t="inlineStr">
        <is>
          <t>ExtendedContactDetail</t>
        </is>
      </c>
      <c r="F140" t="inlineStr">
        <is>
          <t>0..*</t>
        </is>
      </c>
      <c r="G140" t="inlineStr">
        <is>
          <t>False</t>
        </is>
      </c>
      <c r="H140" t="inlineStr">
        <is>
          <t>http://hl7.org/fhir/StructureDefinition/Location</t>
        </is>
      </c>
      <c r="I140" t="inlineStr">
        <is>
          <t>The contact details of communication devices available at the location. This can include addresses, phone numbers, fax numbers, mobile numbers, email addresses and web sites.</t>
        </is>
      </c>
      <c r="J140" t="inlineStr">
        <is>
          <t>http://hl7.org/fhir/StructureDefinition/Location</t>
        </is>
      </c>
      <c r="K140" t="inlineStr"/>
      <c r="L140" t="inlineStr">
        <is>
          <t>needs_new_semantic</t>
        </is>
      </c>
    </row>
    <row r="141">
      <c r="A141" t="inlineStr">
        <is>
          <t>admin_core</t>
        </is>
      </c>
      <c r="B141" t="inlineStr">
        <is>
          <t>R5</t>
        </is>
      </c>
      <c r="C141" t="inlineStr">
        <is>
          <t>Location</t>
        </is>
      </c>
      <c r="D141" t="inlineStr">
        <is>
          <t>Location.contained</t>
        </is>
      </c>
      <c r="E141" t="inlineStr">
        <is>
          <t>Resource</t>
        </is>
      </c>
      <c r="F141" t="inlineStr">
        <is>
          <t>0..*</t>
        </is>
      </c>
      <c r="G141" t="inlineStr">
        <is>
          <t>False</t>
        </is>
      </c>
      <c r="H141" t="inlineStr">
        <is>
          <t>http://hl7.org/fhir/StructureDefinition/Location</t>
        </is>
      </c>
      <c r="I141"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141" t="inlineStr">
        <is>
          <t>http://hl7.org/fhir/StructureDefinition/Location</t>
        </is>
      </c>
      <c r="K141" t="inlineStr"/>
      <c r="L141" t="inlineStr">
        <is>
          <t>needs_new_semantic</t>
        </is>
      </c>
    </row>
    <row r="142">
      <c r="A142" t="inlineStr">
        <is>
          <t>admin_core</t>
        </is>
      </c>
      <c r="B142" t="inlineStr">
        <is>
          <t>R5</t>
        </is>
      </c>
      <c r="C142" t="inlineStr">
        <is>
          <t>Location</t>
        </is>
      </c>
      <c r="D142" t="inlineStr">
        <is>
          <t>Location.description</t>
        </is>
      </c>
      <c r="E142" t="inlineStr">
        <is>
          <t>markdown</t>
        </is>
      </c>
      <c r="F142" t="inlineStr">
        <is>
          <t>0..1</t>
        </is>
      </c>
      <c r="G142" t="inlineStr">
        <is>
          <t>False</t>
        </is>
      </c>
      <c r="H142" t="inlineStr">
        <is>
          <t>http://hl7.org/fhir/StructureDefinition/Location</t>
        </is>
      </c>
      <c r="I142" t="inlineStr">
        <is>
          <t>Description of the Location, which helps in finding or referencing the place.</t>
        </is>
      </c>
      <c r="J142" t="inlineStr">
        <is>
          <t>http://hl7.org/fhir/StructureDefinition/Location</t>
        </is>
      </c>
      <c r="K142" t="inlineStr"/>
      <c r="L142" t="inlineStr">
        <is>
          <t>needs_new_semantic</t>
        </is>
      </c>
    </row>
    <row r="143">
      <c r="A143" t="inlineStr">
        <is>
          <t>admin_core</t>
        </is>
      </c>
      <c r="B143" t="inlineStr">
        <is>
          <t>R5</t>
        </is>
      </c>
      <c r="C143" t="inlineStr">
        <is>
          <t>Location</t>
        </is>
      </c>
      <c r="D143" t="inlineStr">
        <is>
          <t>Location.endpoint</t>
        </is>
      </c>
      <c r="E143" t="inlineStr">
        <is>
          <t>Reference</t>
        </is>
      </c>
      <c r="F143" t="inlineStr">
        <is>
          <t>0..*</t>
        </is>
      </c>
      <c r="G143" t="inlineStr">
        <is>
          <t>False</t>
        </is>
      </c>
      <c r="H143" t="inlineStr">
        <is>
          <t>http://hl7.org/fhir/StructureDefinition/Location</t>
        </is>
      </c>
      <c r="I143" t="inlineStr">
        <is>
          <t>Technical endpoints providing access to services operated for the location.</t>
        </is>
      </c>
      <c r="J143" t="inlineStr">
        <is>
          <t>http://hl7.org/fhir/StructureDefinition/Location</t>
        </is>
      </c>
      <c r="K143" t="inlineStr"/>
      <c r="L143" t="inlineStr">
        <is>
          <t>needs_new_semantic</t>
        </is>
      </c>
    </row>
    <row r="144">
      <c r="A144" t="inlineStr">
        <is>
          <t>admin_core</t>
        </is>
      </c>
      <c r="B144" t="inlineStr">
        <is>
          <t>R5</t>
        </is>
      </c>
      <c r="C144" t="inlineStr">
        <is>
          <t>Location</t>
        </is>
      </c>
      <c r="D144" t="inlineStr">
        <is>
          <t>Location.extension</t>
        </is>
      </c>
      <c r="E144" t="inlineStr">
        <is>
          <t>Extension</t>
        </is>
      </c>
      <c r="F144" t="inlineStr">
        <is>
          <t>0..*</t>
        </is>
      </c>
      <c r="G144" t="inlineStr">
        <is>
          <t>False</t>
        </is>
      </c>
      <c r="H144" t="inlineStr">
        <is>
          <t>http://hl7.org/fhir/StructureDefinition/Location</t>
        </is>
      </c>
      <c r="I144"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44" t="inlineStr">
        <is>
          <t>http://hl7.org/fhir/StructureDefinition/Location</t>
        </is>
      </c>
      <c r="K144" t="inlineStr"/>
      <c r="L144" t="inlineStr">
        <is>
          <t>needs_new_semantic</t>
        </is>
      </c>
    </row>
    <row r="145">
      <c r="A145" t="inlineStr">
        <is>
          <t>admin_core</t>
        </is>
      </c>
      <c r="B145" t="inlineStr">
        <is>
          <t>R5</t>
        </is>
      </c>
      <c r="C145" t="inlineStr">
        <is>
          <t>Location</t>
        </is>
      </c>
      <c r="D145" t="inlineStr">
        <is>
          <t>Location.form</t>
        </is>
      </c>
      <c r="E145" t="inlineStr">
        <is>
          <t>CodeableConcept</t>
        </is>
      </c>
      <c r="F145" t="inlineStr">
        <is>
          <t>0..1</t>
        </is>
      </c>
      <c r="G145" t="inlineStr">
        <is>
          <t>False</t>
        </is>
      </c>
      <c r="H145" t="inlineStr">
        <is>
          <t>http://hl7.org/fhir/StructureDefinition/Location</t>
        </is>
      </c>
      <c r="I145" t="inlineStr">
        <is>
          <t>Physical form of the location, e.g. building, room, vehicle, road, virtual.</t>
        </is>
      </c>
      <c r="J145" t="inlineStr">
        <is>
          <t>http://hl7.org/fhir/StructureDefinition/Location</t>
        </is>
      </c>
      <c r="K145" t="inlineStr"/>
      <c r="L145" t="inlineStr">
        <is>
          <t>needs_new_semantic</t>
        </is>
      </c>
    </row>
    <row r="146">
      <c r="A146" t="inlineStr">
        <is>
          <t>admin_core</t>
        </is>
      </c>
      <c r="B146" t="inlineStr">
        <is>
          <t>R5</t>
        </is>
      </c>
      <c r="C146" t="inlineStr">
        <is>
          <t>Location</t>
        </is>
      </c>
      <c r="D146" t="inlineStr">
        <is>
          <t>Location.hoursOfOperation</t>
        </is>
      </c>
      <c r="E146" t="inlineStr">
        <is>
          <t>Availability</t>
        </is>
      </c>
      <c r="F146" t="inlineStr">
        <is>
          <t>0..*</t>
        </is>
      </c>
      <c r="G146" t="inlineStr">
        <is>
          <t>False</t>
        </is>
      </c>
      <c r="H146" t="inlineStr">
        <is>
          <t>http://hl7.org/fhir/StructureDefinition/Location</t>
        </is>
      </c>
      <c r="I146" t="inlineStr">
        <is>
          <t>What days/times during a week is this location usually open, and any exceptions where the location is not available.</t>
        </is>
      </c>
      <c r="J146" t="inlineStr">
        <is>
          <t>http://hl7.org/fhir/StructureDefinition/Location</t>
        </is>
      </c>
      <c r="K146" t="inlineStr"/>
      <c r="L146" t="inlineStr">
        <is>
          <t>needs_new_semantic</t>
        </is>
      </c>
    </row>
    <row r="147">
      <c r="A147" t="inlineStr">
        <is>
          <t>admin_core</t>
        </is>
      </c>
      <c r="B147" t="inlineStr">
        <is>
          <t>R5</t>
        </is>
      </c>
      <c r="C147" t="inlineStr">
        <is>
          <t>Location</t>
        </is>
      </c>
      <c r="D147" t="inlineStr">
        <is>
          <t>Location.id</t>
        </is>
      </c>
      <c r="E147" t="inlineStr">
        <is>
          <t>http://hl7.org/fhirpath/System.String</t>
        </is>
      </c>
      <c r="F147" t="inlineStr">
        <is>
          <t>0..1</t>
        </is>
      </c>
      <c r="G147" t="inlineStr">
        <is>
          <t>False</t>
        </is>
      </c>
      <c r="H147" t="inlineStr">
        <is>
          <t>http://hl7.org/fhir/StructureDefinition/Location</t>
        </is>
      </c>
      <c r="I147" t="inlineStr">
        <is>
          <t>The logical id of the resource, as used in the URL for the resource. Once assigned, this value never changes.</t>
        </is>
      </c>
      <c r="J147" t="inlineStr">
        <is>
          <t>http://hl7.org/fhir/StructureDefinition/Location</t>
        </is>
      </c>
      <c r="K147" t="inlineStr"/>
      <c r="L147" t="inlineStr">
        <is>
          <t>needs_new_semantic</t>
        </is>
      </c>
    </row>
    <row r="148">
      <c r="A148" t="inlineStr">
        <is>
          <t>admin_core</t>
        </is>
      </c>
      <c r="B148" t="inlineStr">
        <is>
          <t>R5</t>
        </is>
      </c>
      <c r="C148" t="inlineStr">
        <is>
          <t>Location</t>
        </is>
      </c>
      <c r="D148" t="inlineStr">
        <is>
          <t>Location.identifier</t>
        </is>
      </c>
      <c r="E148" t="inlineStr">
        <is>
          <t>Identifier</t>
        </is>
      </c>
      <c r="F148" t="inlineStr">
        <is>
          <t>0..*</t>
        </is>
      </c>
      <c r="G148" t="inlineStr">
        <is>
          <t>False</t>
        </is>
      </c>
      <c r="H148" t="inlineStr">
        <is>
          <t>http://hl7.org/fhir/StructureDefinition/Location</t>
        </is>
      </c>
      <c r="I148" t="inlineStr">
        <is>
          <t>Unique code or number identifying the location to its users.</t>
        </is>
      </c>
      <c r="J148" t="inlineStr">
        <is>
          <t>http://hl7.org/fhir/StructureDefinition/Location</t>
        </is>
      </c>
      <c r="K148" t="inlineStr"/>
      <c r="L148" t="inlineStr">
        <is>
          <t>needs_new_semantic</t>
        </is>
      </c>
    </row>
    <row r="149">
      <c r="A149" t="inlineStr">
        <is>
          <t>admin_core</t>
        </is>
      </c>
      <c r="B149" t="inlineStr">
        <is>
          <t>R5</t>
        </is>
      </c>
      <c r="C149" t="inlineStr">
        <is>
          <t>Location</t>
        </is>
      </c>
      <c r="D149" t="inlineStr">
        <is>
          <t>Location.implicitRules</t>
        </is>
      </c>
      <c r="E149" t="inlineStr">
        <is>
          <t>uri</t>
        </is>
      </c>
      <c r="F149" t="inlineStr">
        <is>
          <t>0..1</t>
        </is>
      </c>
      <c r="G149" t="inlineStr">
        <is>
          <t>False</t>
        </is>
      </c>
      <c r="H149" t="inlineStr">
        <is>
          <t>http://hl7.org/fhir/StructureDefinition/Location</t>
        </is>
      </c>
      <c r="I149"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149" t="inlineStr">
        <is>
          <t>http://hl7.org/fhir/StructureDefinition/Location</t>
        </is>
      </c>
      <c r="K149" t="inlineStr"/>
      <c r="L149" t="inlineStr">
        <is>
          <t>needs_new_semantic</t>
        </is>
      </c>
    </row>
    <row r="150">
      <c r="A150" t="inlineStr">
        <is>
          <t>admin_core</t>
        </is>
      </c>
      <c r="B150" t="inlineStr">
        <is>
          <t>R5</t>
        </is>
      </c>
      <c r="C150" t="inlineStr">
        <is>
          <t>Location</t>
        </is>
      </c>
      <c r="D150" t="inlineStr">
        <is>
          <t>Location.language</t>
        </is>
      </c>
      <c r="E150" t="inlineStr">
        <is>
          <t>code</t>
        </is>
      </c>
      <c r="F150" t="inlineStr">
        <is>
          <t>0..1</t>
        </is>
      </c>
      <c r="G150" t="inlineStr">
        <is>
          <t>False</t>
        </is>
      </c>
      <c r="H150" t="inlineStr">
        <is>
          <t>http://hl7.org/fhir/StructureDefinition/Location</t>
        </is>
      </c>
      <c r="I150" t="inlineStr">
        <is>
          <t>The base language in which the resource is written.</t>
        </is>
      </c>
      <c r="J150" t="inlineStr">
        <is>
          <t>http://hl7.org/fhir/StructureDefinition/Location</t>
        </is>
      </c>
      <c r="K150" t="inlineStr"/>
      <c r="L150" t="inlineStr">
        <is>
          <t>needs_new_semantic</t>
        </is>
      </c>
    </row>
    <row r="151">
      <c r="A151" t="inlineStr">
        <is>
          <t>admin_core</t>
        </is>
      </c>
      <c r="B151" t="inlineStr">
        <is>
          <t>R5</t>
        </is>
      </c>
      <c r="C151" t="inlineStr">
        <is>
          <t>Location</t>
        </is>
      </c>
      <c r="D151" t="inlineStr">
        <is>
          <t>Location.managingOrganization</t>
        </is>
      </c>
      <c r="E151" t="inlineStr">
        <is>
          <t>Reference</t>
        </is>
      </c>
      <c r="F151" t="inlineStr">
        <is>
          <t>0..1</t>
        </is>
      </c>
      <c r="G151" t="inlineStr">
        <is>
          <t>False</t>
        </is>
      </c>
      <c r="H151" t="inlineStr">
        <is>
          <t>http://hl7.org/fhir/StructureDefinition/Location</t>
        </is>
      </c>
      <c r="I151" t="inlineStr">
        <is>
          <t>The organization responsible for the provisioning and upkeep of the location.</t>
        </is>
      </c>
      <c r="J151" t="inlineStr">
        <is>
          <t>http://hl7.org/fhir/StructureDefinition/Location</t>
        </is>
      </c>
      <c r="K151" t="inlineStr"/>
      <c r="L151" t="inlineStr">
        <is>
          <t>needs_new_semantic</t>
        </is>
      </c>
    </row>
    <row r="152">
      <c r="A152" t="inlineStr">
        <is>
          <t>admin_core</t>
        </is>
      </c>
      <c r="B152" t="inlineStr">
        <is>
          <t>R5</t>
        </is>
      </c>
      <c r="C152" t="inlineStr">
        <is>
          <t>Location</t>
        </is>
      </c>
      <c r="D152" t="inlineStr">
        <is>
          <t>Location.meta</t>
        </is>
      </c>
      <c r="E152" t="inlineStr">
        <is>
          <t>Meta</t>
        </is>
      </c>
      <c r="F152" t="inlineStr">
        <is>
          <t>0..1</t>
        </is>
      </c>
      <c r="G152" t="inlineStr">
        <is>
          <t>False</t>
        </is>
      </c>
      <c r="H152" t="inlineStr">
        <is>
          <t>http://hl7.org/fhir/StructureDefinition/Location</t>
        </is>
      </c>
      <c r="I152" t="inlineStr">
        <is>
          <t>The metadata about the resource. This is content that is maintained by the infrastructure. Changes to the content might not always be associated with version changes to the resource.</t>
        </is>
      </c>
      <c r="J152" t="inlineStr">
        <is>
          <t>http://hl7.org/fhir/StructureDefinition/Location</t>
        </is>
      </c>
      <c r="K152" t="inlineStr"/>
      <c r="L152" t="inlineStr">
        <is>
          <t>needs_new_semantic</t>
        </is>
      </c>
    </row>
    <row r="153">
      <c r="A153" t="inlineStr">
        <is>
          <t>admin_core</t>
        </is>
      </c>
      <c r="B153" t="inlineStr">
        <is>
          <t>R5</t>
        </is>
      </c>
      <c r="C153" t="inlineStr">
        <is>
          <t>Location</t>
        </is>
      </c>
      <c r="D153" t="inlineStr">
        <is>
          <t>Location.mode</t>
        </is>
      </c>
      <c r="E153" t="inlineStr">
        <is>
          <t>code</t>
        </is>
      </c>
      <c r="F153" t="inlineStr">
        <is>
          <t>0..1</t>
        </is>
      </c>
      <c r="G153" t="inlineStr">
        <is>
          <t>False</t>
        </is>
      </c>
      <c r="H153" t="inlineStr">
        <is>
          <t>http://hl7.org/fhir/StructureDefinition/Location</t>
        </is>
      </c>
      <c r="I153" t="inlineStr">
        <is>
          <t>Indicates whether a resource instance represents a specific location or a class of locations.</t>
        </is>
      </c>
      <c r="J153" t="inlineStr">
        <is>
          <t>http://hl7.org/fhir/StructureDefinition/Location</t>
        </is>
      </c>
      <c r="K153" t="inlineStr"/>
      <c r="L153" t="inlineStr">
        <is>
          <t>needs_new_semantic</t>
        </is>
      </c>
    </row>
    <row r="154">
      <c r="A154" t="inlineStr">
        <is>
          <t>admin_core</t>
        </is>
      </c>
      <c r="B154" t="inlineStr">
        <is>
          <t>R5</t>
        </is>
      </c>
      <c r="C154" t="inlineStr">
        <is>
          <t>Location</t>
        </is>
      </c>
      <c r="D154" t="inlineStr">
        <is>
          <t>Location.modifierExtension</t>
        </is>
      </c>
      <c r="E154" t="inlineStr">
        <is>
          <t>Extension</t>
        </is>
      </c>
      <c r="F154" t="inlineStr">
        <is>
          <t>0..*</t>
        </is>
      </c>
      <c r="G154" t="inlineStr">
        <is>
          <t>False</t>
        </is>
      </c>
      <c r="H154" t="inlineStr">
        <is>
          <t>http://hl7.org/fhir/StructureDefinition/Location</t>
        </is>
      </c>
      <c r="I154"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54" t="inlineStr">
        <is>
          <t>http://hl7.org/fhir/StructureDefinition/Location</t>
        </is>
      </c>
      <c r="K154" t="inlineStr"/>
      <c r="L154" t="inlineStr">
        <is>
          <t>needs_new_semantic</t>
        </is>
      </c>
    </row>
    <row r="155">
      <c r="A155" t="inlineStr">
        <is>
          <t>admin_core</t>
        </is>
      </c>
      <c r="B155" t="inlineStr">
        <is>
          <t>R5</t>
        </is>
      </c>
      <c r="C155" t="inlineStr">
        <is>
          <t>Location</t>
        </is>
      </c>
      <c r="D155" t="inlineStr">
        <is>
          <t>Location.name</t>
        </is>
      </c>
      <c r="E155" t="inlineStr">
        <is>
          <t>string</t>
        </is>
      </c>
      <c r="F155" t="inlineStr">
        <is>
          <t>0..1</t>
        </is>
      </c>
      <c r="G155" t="inlineStr">
        <is>
          <t>False</t>
        </is>
      </c>
      <c r="H155" t="inlineStr">
        <is>
          <t>http://hl7.org/fhir/StructureDefinition/Location</t>
        </is>
      </c>
      <c r="I155" t="inlineStr">
        <is>
          <t>Name of the location as used by humans. Does not need to be unique.</t>
        </is>
      </c>
      <c r="J155" t="inlineStr">
        <is>
          <t>http://hl7.org/fhir/StructureDefinition/Location</t>
        </is>
      </c>
      <c r="K155" t="inlineStr"/>
      <c r="L155" t="inlineStr">
        <is>
          <t>needs_new_semantic</t>
        </is>
      </c>
    </row>
    <row r="156">
      <c r="A156" t="inlineStr">
        <is>
          <t>admin_core</t>
        </is>
      </c>
      <c r="B156" t="inlineStr">
        <is>
          <t>R5</t>
        </is>
      </c>
      <c r="C156" t="inlineStr">
        <is>
          <t>Location</t>
        </is>
      </c>
      <c r="D156" t="inlineStr">
        <is>
          <t>Location.operationalStatus</t>
        </is>
      </c>
      <c r="E156" t="inlineStr">
        <is>
          <t>Coding</t>
        </is>
      </c>
      <c r="F156" t="inlineStr">
        <is>
          <t>0..1</t>
        </is>
      </c>
      <c r="G156" t="inlineStr">
        <is>
          <t>False</t>
        </is>
      </c>
      <c r="H156" t="inlineStr">
        <is>
          <t>http://hl7.org/fhir/StructureDefinition/Location</t>
        </is>
      </c>
      <c r="I156" t="inlineStr">
        <is>
          <t>The operational status covers operation values most relevant to beds (but can also apply to rooms/units/chairs/etc. such as an isolation unit/dialysis chair). This typically covers concepts such as contamination, housekeeping, and other activities like maintenance.</t>
        </is>
      </c>
      <c r="J156" t="inlineStr">
        <is>
          <t>http://hl7.org/fhir/StructureDefinition/Location</t>
        </is>
      </c>
      <c r="K156" t="inlineStr"/>
      <c r="L156" t="inlineStr">
        <is>
          <t>needs_new_semantic</t>
        </is>
      </c>
    </row>
    <row r="157">
      <c r="A157" t="inlineStr">
        <is>
          <t>admin_core</t>
        </is>
      </c>
      <c r="B157" t="inlineStr">
        <is>
          <t>R5</t>
        </is>
      </c>
      <c r="C157" t="inlineStr">
        <is>
          <t>Location</t>
        </is>
      </c>
      <c r="D157" t="inlineStr">
        <is>
          <t>Location.partOf</t>
        </is>
      </c>
      <c r="E157" t="inlineStr">
        <is>
          <t>Reference</t>
        </is>
      </c>
      <c r="F157" t="inlineStr">
        <is>
          <t>0..1</t>
        </is>
      </c>
      <c r="G157" t="inlineStr">
        <is>
          <t>False</t>
        </is>
      </c>
      <c r="H157" t="inlineStr">
        <is>
          <t>http://hl7.org/fhir/StructureDefinition/Location</t>
        </is>
      </c>
      <c r="I157" t="inlineStr">
        <is>
          <t>Another Location of which this Location is physically a part of.</t>
        </is>
      </c>
      <c r="J157" t="inlineStr">
        <is>
          <t>http://hl7.org/fhir/StructureDefinition/Location</t>
        </is>
      </c>
      <c r="K157" t="inlineStr"/>
      <c r="L157" t="inlineStr">
        <is>
          <t>needs_new_semantic</t>
        </is>
      </c>
    </row>
    <row r="158">
      <c r="A158" t="inlineStr">
        <is>
          <t>admin_core</t>
        </is>
      </c>
      <c r="B158" t="inlineStr">
        <is>
          <t>R5</t>
        </is>
      </c>
      <c r="C158" t="inlineStr">
        <is>
          <t>Location</t>
        </is>
      </c>
      <c r="D158" t="inlineStr">
        <is>
          <t>Location.position</t>
        </is>
      </c>
      <c r="E158" t="inlineStr">
        <is>
          <t>BackboneElement</t>
        </is>
      </c>
      <c r="F158" t="inlineStr">
        <is>
          <t>0..1</t>
        </is>
      </c>
      <c r="G158" t="inlineStr">
        <is>
          <t>False</t>
        </is>
      </c>
      <c r="H158" t="inlineStr">
        <is>
          <t>http://hl7.org/fhir/StructureDefinition/Location</t>
        </is>
      </c>
      <c r="I158" t="inlineStr">
        <is>
          <t>The absolute geographic location of the Location, expressed using the WGS84 datum (This is the same co-ordinate system used in KML).</t>
        </is>
      </c>
      <c r="J158" t="inlineStr">
        <is>
          <t>http://hl7.org/fhir/StructureDefinition/Location</t>
        </is>
      </c>
      <c r="K158" t="inlineStr"/>
      <c r="L158" t="inlineStr">
        <is>
          <t>needs_new_semantic</t>
        </is>
      </c>
    </row>
    <row r="159">
      <c r="A159" t="inlineStr">
        <is>
          <t>admin_core</t>
        </is>
      </c>
      <c r="B159" t="inlineStr">
        <is>
          <t>R5</t>
        </is>
      </c>
      <c r="C159" t="inlineStr">
        <is>
          <t>Location</t>
        </is>
      </c>
      <c r="D159" t="inlineStr">
        <is>
          <t>Location.position.altitude</t>
        </is>
      </c>
      <c r="E159" t="inlineStr">
        <is>
          <t>decimal</t>
        </is>
      </c>
      <c r="F159" t="inlineStr">
        <is>
          <t>0..1</t>
        </is>
      </c>
      <c r="G159" t="inlineStr">
        <is>
          <t>False</t>
        </is>
      </c>
      <c r="H159" t="inlineStr">
        <is>
          <t>http://hl7.org/fhir/StructureDefinition/Location</t>
        </is>
      </c>
      <c r="I159" t="inlineStr">
        <is>
          <t>Altitude. The value domain and the interpretation are the same as for the text of the altitude element in KML (see notes on Location main page).</t>
        </is>
      </c>
      <c r="J159" t="inlineStr">
        <is>
          <t>http://hl7.org/fhir/StructureDefinition/Location</t>
        </is>
      </c>
      <c r="K159" t="inlineStr"/>
      <c r="L159" t="inlineStr">
        <is>
          <t>needs_new_semantic</t>
        </is>
      </c>
    </row>
    <row r="160">
      <c r="A160" t="inlineStr">
        <is>
          <t>admin_core</t>
        </is>
      </c>
      <c r="B160" t="inlineStr">
        <is>
          <t>R5</t>
        </is>
      </c>
      <c r="C160" t="inlineStr">
        <is>
          <t>Location</t>
        </is>
      </c>
      <c r="D160" t="inlineStr">
        <is>
          <t>Location.position.extension</t>
        </is>
      </c>
      <c r="E160" t="inlineStr">
        <is>
          <t>Extension</t>
        </is>
      </c>
      <c r="F160" t="inlineStr">
        <is>
          <t>0..*</t>
        </is>
      </c>
      <c r="G160" t="inlineStr"/>
      <c r="H160" t="inlineStr">
        <is>
          <t>http://hl7.org/fhir/StructureDefinition/Location</t>
        </is>
      </c>
      <c r="I160"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60" t="inlineStr">
        <is>
          <t>http://hl7.org/fhir/StructureDefinition/Location</t>
        </is>
      </c>
      <c r="K160" t="inlineStr"/>
      <c r="L160" t="inlineStr">
        <is>
          <t>needs_new_semantic</t>
        </is>
      </c>
    </row>
    <row r="161">
      <c r="A161" t="inlineStr">
        <is>
          <t>admin_core</t>
        </is>
      </c>
      <c r="B161" t="inlineStr">
        <is>
          <t>R5</t>
        </is>
      </c>
      <c r="C161" t="inlineStr">
        <is>
          <t>Location</t>
        </is>
      </c>
      <c r="D161" t="inlineStr">
        <is>
          <t>Location.position.id</t>
        </is>
      </c>
      <c r="E161" t="inlineStr">
        <is>
          <t>http://hl7.org/fhirpath/System.String</t>
        </is>
      </c>
      <c r="F161" t="inlineStr">
        <is>
          <t>0..1</t>
        </is>
      </c>
      <c r="G161" t="inlineStr"/>
      <c r="H161" t="inlineStr">
        <is>
          <t>http://hl7.org/fhir/StructureDefinition/Location</t>
        </is>
      </c>
      <c r="I161" t="inlineStr">
        <is>
          <t>Unique id for the element within a resource (for internal references). This may be any string value that does not contain spaces.</t>
        </is>
      </c>
      <c r="J161" t="inlineStr">
        <is>
          <t>http://hl7.org/fhir/StructureDefinition/Location</t>
        </is>
      </c>
      <c r="K161" t="inlineStr"/>
      <c r="L161" t="inlineStr">
        <is>
          <t>needs_new_semantic</t>
        </is>
      </c>
    </row>
    <row r="162">
      <c r="A162" t="inlineStr">
        <is>
          <t>admin_core</t>
        </is>
      </c>
      <c r="B162" t="inlineStr">
        <is>
          <t>R5</t>
        </is>
      </c>
      <c r="C162" t="inlineStr">
        <is>
          <t>Location</t>
        </is>
      </c>
      <c r="D162" t="inlineStr">
        <is>
          <t>Location.position.latitude</t>
        </is>
      </c>
      <c r="E162" t="inlineStr">
        <is>
          <t>decimal</t>
        </is>
      </c>
      <c r="F162" t="inlineStr">
        <is>
          <t>1..1</t>
        </is>
      </c>
      <c r="G162" t="inlineStr">
        <is>
          <t>False</t>
        </is>
      </c>
      <c r="H162" t="inlineStr">
        <is>
          <t>http://hl7.org/fhir/StructureDefinition/Location</t>
        </is>
      </c>
      <c r="I162" t="inlineStr">
        <is>
          <t>Latitude. The value domain and the interpretation are the same as for the text of the latitude element in KML (see notes on Location main page).</t>
        </is>
      </c>
      <c r="J162" t="inlineStr">
        <is>
          <t>http://hl7.org/fhir/StructureDefinition/Location</t>
        </is>
      </c>
      <c r="K162" t="inlineStr"/>
      <c r="L162" t="inlineStr">
        <is>
          <t>needs_new_semantic</t>
        </is>
      </c>
    </row>
    <row r="163">
      <c r="A163" t="inlineStr">
        <is>
          <t>admin_core</t>
        </is>
      </c>
      <c r="B163" t="inlineStr">
        <is>
          <t>R5</t>
        </is>
      </c>
      <c r="C163" t="inlineStr">
        <is>
          <t>Location</t>
        </is>
      </c>
      <c r="D163" t="inlineStr">
        <is>
          <t>Location.position.longitude</t>
        </is>
      </c>
      <c r="E163" t="inlineStr">
        <is>
          <t>decimal</t>
        </is>
      </c>
      <c r="F163" t="inlineStr">
        <is>
          <t>1..1</t>
        </is>
      </c>
      <c r="G163" t="inlineStr">
        <is>
          <t>False</t>
        </is>
      </c>
      <c r="H163" t="inlineStr">
        <is>
          <t>http://hl7.org/fhir/StructureDefinition/Location</t>
        </is>
      </c>
      <c r="I163" t="inlineStr">
        <is>
          <t>Longitude. The value domain and the interpretation are the same as for the text of the longitude element in KML (see notes on Location main page).</t>
        </is>
      </c>
      <c r="J163" t="inlineStr">
        <is>
          <t>http://hl7.org/fhir/StructureDefinition/Location</t>
        </is>
      </c>
      <c r="K163" t="inlineStr"/>
      <c r="L163" t="inlineStr">
        <is>
          <t>needs_new_semantic</t>
        </is>
      </c>
    </row>
    <row r="164">
      <c r="A164" t="inlineStr">
        <is>
          <t>admin_core</t>
        </is>
      </c>
      <c r="B164" t="inlineStr">
        <is>
          <t>R5</t>
        </is>
      </c>
      <c r="C164" t="inlineStr">
        <is>
          <t>Location</t>
        </is>
      </c>
      <c r="D164" t="inlineStr">
        <is>
          <t>Location.position.modifierExtension</t>
        </is>
      </c>
      <c r="E164" t="inlineStr">
        <is>
          <t>Extension</t>
        </is>
      </c>
      <c r="F164" t="inlineStr">
        <is>
          <t>0..*</t>
        </is>
      </c>
      <c r="G164" t="inlineStr"/>
      <c r="H164" t="inlineStr">
        <is>
          <t>http://hl7.org/fhir/StructureDefinition/Location</t>
        </is>
      </c>
      <c r="I164"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64" t="inlineStr">
        <is>
          <t>http://hl7.org/fhir/StructureDefinition/Location</t>
        </is>
      </c>
      <c r="K164" t="inlineStr"/>
      <c r="L164" t="inlineStr">
        <is>
          <t>needs_new_semantic</t>
        </is>
      </c>
    </row>
    <row r="165">
      <c r="A165" t="inlineStr">
        <is>
          <t>admin_core</t>
        </is>
      </c>
      <c r="B165" t="inlineStr">
        <is>
          <t>R5</t>
        </is>
      </c>
      <c r="C165" t="inlineStr">
        <is>
          <t>Location</t>
        </is>
      </c>
      <c r="D165" t="inlineStr">
        <is>
          <t>Location.status</t>
        </is>
      </c>
      <c r="E165" t="inlineStr">
        <is>
          <t>code</t>
        </is>
      </c>
      <c r="F165" t="inlineStr">
        <is>
          <t>0..1</t>
        </is>
      </c>
      <c r="G165" t="inlineStr">
        <is>
          <t>False</t>
        </is>
      </c>
      <c r="H165" t="inlineStr">
        <is>
          <t>http://hl7.org/fhir/StructureDefinition/Location</t>
        </is>
      </c>
      <c r="I165" t="inlineStr">
        <is>
          <t>The status property covers the general availability of the resource, not the current value which may be covered by the operationStatus, or by a schedule/slots if they are configured for the location.</t>
        </is>
      </c>
      <c r="J165" t="inlineStr">
        <is>
          <t>http://hl7.org/fhir/StructureDefinition/Location</t>
        </is>
      </c>
      <c r="K165" t="inlineStr"/>
      <c r="L165" t="inlineStr">
        <is>
          <t>needs_new_semantic</t>
        </is>
      </c>
    </row>
    <row r="166">
      <c r="A166" t="inlineStr">
        <is>
          <t>admin_core</t>
        </is>
      </c>
      <c r="B166" t="inlineStr">
        <is>
          <t>R5</t>
        </is>
      </c>
      <c r="C166" t="inlineStr">
        <is>
          <t>Location</t>
        </is>
      </c>
      <c r="D166" t="inlineStr">
        <is>
          <t>Location.text</t>
        </is>
      </c>
      <c r="E166" t="inlineStr">
        <is>
          <t>Narrative</t>
        </is>
      </c>
      <c r="F166" t="inlineStr">
        <is>
          <t>0..1</t>
        </is>
      </c>
      <c r="G166" t="inlineStr">
        <is>
          <t>False</t>
        </is>
      </c>
      <c r="H166" t="inlineStr">
        <is>
          <t>http://hl7.org/fhir/StructureDefinition/Location</t>
        </is>
      </c>
      <c r="I166"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166" t="inlineStr">
        <is>
          <t>http://hl7.org/fhir/StructureDefinition/Location</t>
        </is>
      </c>
      <c r="K166" t="inlineStr"/>
      <c r="L166" t="inlineStr">
        <is>
          <t>needs_new_semantic</t>
        </is>
      </c>
    </row>
    <row r="167">
      <c r="A167" t="inlineStr">
        <is>
          <t>admin_core</t>
        </is>
      </c>
      <c r="B167" t="inlineStr">
        <is>
          <t>R5</t>
        </is>
      </c>
      <c r="C167" t="inlineStr">
        <is>
          <t>Location</t>
        </is>
      </c>
      <c r="D167" t="inlineStr">
        <is>
          <t>Location.type</t>
        </is>
      </c>
      <c r="E167" t="inlineStr">
        <is>
          <t>CodeableConcept</t>
        </is>
      </c>
      <c r="F167" t="inlineStr">
        <is>
          <t>0..*</t>
        </is>
      </c>
      <c r="G167" t="inlineStr">
        <is>
          <t>False</t>
        </is>
      </c>
      <c r="H167" t="inlineStr">
        <is>
          <t>http://hl7.org/fhir/StructureDefinition/Location</t>
        </is>
      </c>
      <c r="I167" t="inlineStr">
        <is>
          <t>Indicates the type of function performed at the location.</t>
        </is>
      </c>
      <c r="J167" t="inlineStr">
        <is>
          <t>http://hl7.org/fhir/StructureDefinition/Location</t>
        </is>
      </c>
      <c r="K167" t="inlineStr"/>
      <c r="L167" t="inlineStr">
        <is>
          <t>needs_new_semantic</t>
        </is>
      </c>
    </row>
    <row r="168">
      <c r="A168" t="inlineStr">
        <is>
          <t>admin_core</t>
        </is>
      </c>
      <c r="B168" t="inlineStr">
        <is>
          <t>R5</t>
        </is>
      </c>
      <c r="C168" t="inlineStr">
        <is>
          <t>Location</t>
        </is>
      </c>
      <c r="D168" t="inlineStr">
        <is>
          <t>Location.virtualService</t>
        </is>
      </c>
      <c r="E168" t="inlineStr">
        <is>
          <t>VirtualServiceDetail</t>
        </is>
      </c>
      <c r="F168" t="inlineStr">
        <is>
          <t>0..*</t>
        </is>
      </c>
      <c r="G168" t="inlineStr">
        <is>
          <t>False</t>
        </is>
      </c>
      <c r="H168" t="inlineStr">
        <is>
          <t>http://hl7.org/fhir/StructureDefinition/Location</t>
        </is>
      </c>
      <c r="I168" t="inlineStr">
        <is>
          <t>Connection details of a virtual service (e.g. shared conference call facility with dedicated number/details).</t>
        </is>
      </c>
      <c r="J168" t="inlineStr">
        <is>
          <t>http://hl7.org/fhir/StructureDefinition/Location</t>
        </is>
      </c>
      <c r="K168" t="inlineStr"/>
      <c r="L168" t="inlineStr">
        <is>
          <t>needs_new_semantic</t>
        </is>
      </c>
    </row>
    <row r="169">
      <c r="A169" t="inlineStr">
        <is>
          <t>admin_core</t>
        </is>
      </c>
      <c r="B169" t="inlineStr">
        <is>
          <t>R5</t>
        </is>
      </c>
      <c r="C169" t="inlineStr">
        <is>
          <t>Organization</t>
        </is>
      </c>
      <c r="D169" t="inlineStr">
        <is>
          <t>Organization.active</t>
        </is>
      </c>
      <c r="E169" t="inlineStr">
        <is>
          <t>boolean</t>
        </is>
      </c>
      <c r="F169" t="inlineStr">
        <is>
          <t>0..1</t>
        </is>
      </c>
      <c r="G169" t="inlineStr">
        <is>
          <t>False</t>
        </is>
      </c>
      <c r="H169" t="inlineStr">
        <is>
          <t>http://hl7.org/fhir/StructureDefinition/Organization</t>
        </is>
      </c>
      <c r="I169" t="inlineStr">
        <is>
          <t>Whether the organization's record is still in active use.</t>
        </is>
      </c>
      <c r="J169" t="inlineStr">
        <is>
          <t>http://hl7.org/fhir/StructureDefinition/Organization</t>
        </is>
      </c>
      <c r="K169" t="inlineStr"/>
      <c r="L169" t="inlineStr">
        <is>
          <t>needs_new_semantic</t>
        </is>
      </c>
    </row>
    <row r="170">
      <c r="A170" t="inlineStr">
        <is>
          <t>admin_core</t>
        </is>
      </c>
      <c r="B170" t="inlineStr">
        <is>
          <t>R5</t>
        </is>
      </c>
      <c r="C170" t="inlineStr">
        <is>
          <t>Organization</t>
        </is>
      </c>
      <c r="D170" t="inlineStr">
        <is>
          <t>Organization.alias</t>
        </is>
      </c>
      <c r="E170" t="inlineStr">
        <is>
          <t>string</t>
        </is>
      </c>
      <c r="F170" t="inlineStr">
        <is>
          <t>0..*</t>
        </is>
      </c>
      <c r="G170" t="inlineStr">
        <is>
          <t>False</t>
        </is>
      </c>
      <c r="H170" t="inlineStr">
        <is>
          <t>http://hl7.org/fhir/StructureDefinition/Organization</t>
        </is>
      </c>
      <c r="I170" t="inlineStr">
        <is>
          <t>A list of alternate names that the organization is known as, or was known as in the past.</t>
        </is>
      </c>
      <c r="J170" t="inlineStr">
        <is>
          <t>http://hl7.org/fhir/StructureDefinition/Organization</t>
        </is>
      </c>
      <c r="K170" t="inlineStr"/>
      <c r="L170" t="inlineStr">
        <is>
          <t>needs_new_semantic</t>
        </is>
      </c>
    </row>
    <row r="171">
      <c r="A171" t="inlineStr">
        <is>
          <t>admin_core</t>
        </is>
      </c>
      <c r="B171" t="inlineStr">
        <is>
          <t>R5</t>
        </is>
      </c>
      <c r="C171" t="inlineStr">
        <is>
          <t>Organization</t>
        </is>
      </c>
      <c r="D171" t="inlineStr">
        <is>
          <t>Organization.contact</t>
        </is>
      </c>
      <c r="E171" t="inlineStr">
        <is>
          <t>ExtendedContactDetail</t>
        </is>
      </c>
      <c r="F171" t="inlineStr">
        <is>
          <t>0..*</t>
        </is>
      </c>
      <c r="G171" t="inlineStr">
        <is>
          <t>False</t>
        </is>
      </c>
      <c r="H171" t="inlineStr">
        <is>
          <t>http://hl7.org/fhir/StructureDefinition/Organization</t>
        </is>
      </c>
      <c r="I171" t="inlineStr">
        <is>
          <t>The contact details of communication devices available relevant to the specific Organization. This can include addresses, phone numbers, fax numbers, mobile numbers, email addresses and web sites.</t>
        </is>
      </c>
      <c r="J171" t="inlineStr">
        <is>
          <t>http://hl7.org/fhir/StructureDefinition/Organization</t>
        </is>
      </c>
      <c r="K171" t="inlineStr"/>
      <c r="L171" t="inlineStr">
        <is>
          <t>needs_new_semantic</t>
        </is>
      </c>
    </row>
    <row r="172">
      <c r="A172" t="inlineStr">
        <is>
          <t>admin_core</t>
        </is>
      </c>
      <c r="B172" t="inlineStr">
        <is>
          <t>R5</t>
        </is>
      </c>
      <c r="C172" t="inlineStr">
        <is>
          <t>Organization</t>
        </is>
      </c>
      <c r="D172" t="inlineStr">
        <is>
          <t>Organization.contained</t>
        </is>
      </c>
      <c r="E172" t="inlineStr">
        <is>
          <t>Resource</t>
        </is>
      </c>
      <c r="F172" t="inlineStr">
        <is>
          <t>0..*</t>
        </is>
      </c>
      <c r="G172" t="inlineStr">
        <is>
          <t>False</t>
        </is>
      </c>
      <c r="H172" t="inlineStr">
        <is>
          <t>http://hl7.org/fhir/StructureDefinition/Organization</t>
        </is>
      </c>
      <c r="I172"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172" t="inlineStr">
        <is>
          <t>http://hl7.org/fhir/StructureDefinition/Organization</t>
        </is>
      </c>
      <c r="K172" t="inlineStr"/>
      <c r="L172" t="inlineStr">
        <is>
          <t>needs_new_semantic</t>
        </is>
      </c>
    </row>
    <row r="173">
      <c r="A173" t="inlineStr">
        <is>
          <t>admin_core</t>
        </is>
      </c>
      <c r="B173" t="inlineStr">
        <is>
          <t>R5</t>
        </is>
      </c>
      <c r="C173" t="inlineStr">
        <is>
          <t>Organization</t>
        </is>
      </c>
      <c r="D173" t="inlineStr">
        <is>
          <t>Organization.description</t>
        </is>
      </c>
      <c r="E173" t="inlineStr">
        <is>
          <t>markdown</t>
        </is>
      </c>
      <c r="F173" t="inlineStr">
        <is>
          <t>0..1</t>
        </is>
      </c>
      <c r="G173" t="inlineStr">
        <is>
          <t>False</t>
        </is>
      </c>
      <c r="H173" t="inlineStr">
        <is>
          <t>http://hl7.org/fhir/StructureDefinition/Organization</t>
        </is>
      </c>
      <c r="I173" t="inlineStr">
        <is>
          <t>Description of the organization, which helps provide additional general context on the organization to ensure that the correct organization is selected.</t>
        </is>
      </c>
      <c r="J173" t="inlineStr">
        <is>
          <t>http://hl7.org/fhir/StructureDefinition/Organization</t>
        </is>
      </c>
      <c r="K173" t="inlineStr"/>
      <c r="L173" t="inlineStr">
        <is>
          <t>needs_new_semantic</t>
        </is>
      </c>
    </row>
    <row r="174">
      <c r="A174" t="inlineStr">
        <is>
          <t>admin_core</t>
        </is>
      </c>
      <c r="B174" t="inlineStr">
        <is>
          <t>R5</t>
        </is>
      </c>
      <c r="C174" t="inlineStr">
        <is>
          <t>Organization</t>
        </is>
      </c>
      <c r="D174" t="inlineStr">
        <is>
          <t>Organization.endpoint</t>
        </is>
      </c>
      <c r="E174" t="inlineStr">
        <is>
          <t>Reference</t>
        </is>
      </c>
      <c r="F174" t="inlineStr">
        <is>
          <t>0..*</t>
        </is>
      </c>
      <c r="G174" t="inlineStr">
        <is>
          <t>False</t>
        </is>
      </c>
      <c r="H174" t="inlineStr">
        <is>
          <t>http://hl7.org/fhir/StructureDefinition/Organization</t>
        </is>
      </c>
      <c r="I174" t="inlineStr">
        <is>
          <t>Technical endpoints providing access to services operated for the organization.</t>
        </is>
      </c>
      <c r="J174" t="inlineStr">
        <is>
          <t>http://hl7.org/fhir/StructureDefinition/Organization</t>
        </is>
      </c>
      <c r="K174" t="inlineStr"/>
      <c r="L174" t="inlineStr">
        <is>
          <t>needs_new_semantic</t>
        </is>
      </c>
    </row>
    <row r="175">
      <c r="A175" t="inlineStr">
        <is>
          <t>admin_core</t>
        </is>
      </c>
      <c r="B175" t="inlineStr">
        <is>
          <t>R5</t>
        </is>
      </c>
      <c r="C175" t="inlineStr">
        <is>
          <t>Organization</t>
        </is>
      </c>
      <c r="D175" t="inlineStr">
        <is>
          <t>Organization.extension</t>
        </is>
      </c>
      <c r="E175" t="inlineStr">
        <is>
          <t>Extension</t>
        </is>
      </c>
      <c r="F175" t="inlineStr">
        <is>
          <t>0..*</t>
        </is>
      </c>
      <c r="G175" t="inlineStr">
        <is>
          <t>False</t>
        </is>
      </c>
      <c r="H175" t="inlineStr">
        <is>
          <t>http://hl7.org/fhir/StructureDefinition/Organization</t>
        </is>
      </c>
      <c r="I175"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75" t="inlineStr">
        <is>
          <t>http://hl7.org/fhir/StructureDefinition/Organization</t>
        </is>
      </c>
      <c r="K175" t="inlineStr"/>
      <c r="L175" t="inlineStr">
        <is>
          <t>needs_new_semantic</t>
        </is>
      </c>
    </row>
    <row r="176">
      <c r="A176" t="inlineStr">
        <is>
          <t>admin_core</t>
        </is>
      </c>
      <c r="B176" t="inlineStr">
        <is>
          <t>R5</t>
        </is>
      </c>
      <c r="C176" t="inlineStr">
        <is>
          <t>Organization</t>
        </is>
      </c>
      <c r="D176" t="inlineStr">
        <is>
          <t>Organization.id</t>
        </is>
      </c>
      <c r="E176" t="inlineStr">
        <is>
          <t>http://hl7.org/fhirpath/System.String</t>
        </is>
      </c>
      <c r="F176" t="inlineStr">
        <is>
          <t>0..1</t>
        </is>
      </c>
      <c r="G176" t="inlineStr">
        <is>
          <t>False</t>
        </is>
      </c>
      <c r="H176" t="inlineStr">
        <is>
          <t>http://hl7.org/fhir/StructureDefinition/Organization</t>
        </is>
      </c>
      <c r="I176" t="inlineStr">
        <is>
          <t>The logical id of the resource, as used in the URL for the resource. Once assigned, this value never changes.</t>
        </is>
      </c>
      <c r="J176" t="inlineStr">
        <is>
          <t>http://hl7.org/fhir/StructureDefinition/Organization</t>
        </is>
      </c>
      <c r="K176" t="inlineStr"/>
      <c r="L176" t="inlineStr">
        <is>
          <t>needs_new_semantic</t>
        </is>
      </c>
    </row>
    <row r="177">
      <c r="A177" t="inlineStr">
        <is>
          <t>admin_core</t>
        </is>
      </c>
      <c r="B177" t="inlineStr">
        <is>
          <t>R5</t>
        </is>
      </c>
      <c r="C177" t="inlineStr">
        <is>
          <t>Organization</t>
        </is>
      </c>
      <c r="D177" t="inlineStr">
        <is>
          <t>Organization.identifier</t>
        </is>
      </c>
      <c r="E177" t="inlineStr">
        <is>
          <t>Identifier</t>
        </is>
      </c>
      <c r="F177" t="inlineStr">
        <is>
          <t>0..*</t>
        </is>
      </c>
      <c r="G177" t="inlineStr">
        <is>
          <t>False</t>
        </is>
      </c>
      <c r="H177" t="inlineStr">
        <is>
          <t>http://hl7.org/fhir/StructureDefinition/Organization</t>
        </is>
      </c>
      <c r="I177" t="inlineStr">
        <is>
          <t>Identifier for the organization that is used to identify the organization across multiple disparate systems.</t>
        </is>
      </c>
      <c r="J177" t="inlineStr">
        <is>
          <t>http://hl7.org/fhir/StructureDefinition/Organization</t>
        </is>
      </c>
      <c r="K177" t="inlineStr"/>
      <c r="L177" t="inlineStr">
        <is>
          <t>needs_new_semantic</t>
        </is>
      </c>
    </row>
    <row r="178">
      <c r="A178" t="inlineStr">
        <is>
          <t>admin_core</t>
        </is>
      </c>
      <c r="B178" t="inlineStr">
        <is>
          <t>R5</t>
        </is>
      </c>
      <c r="C178" t="inlineStr">
        <is>
          <t>Organization</t>
        </is>
      </c>
      <c r="D178" t="inlineStr">
        <is>
          <t>Organization.implicitRules</t>
        </is>
      </c>
      <c r="E178" t="inlineStr">
        <is>
          <t>uri</t>
        </is>
      </c>
      <c r="F178" t="inlineStr">
        <is>
          <t>0..1</t>
        </is>
      </c>
      <c r="G178" t="inlineStr">
        <is>
          <t>False</t>
        </is>
      </c>
      <c r="H178" t="inlineStr">
        <is>
          <t>http://hl7.org/fhir/StructureDefinition/Organization</t>
        </is>
      </c>
      <c r="I178"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178" t="inlineStr">
        <is>
          <t>http://hl7.org/fhir/StructureDefinition/Organization</t>
        </is>
      </c>
      <c r="K178" t="inlineStr"/>
      <c r="L178" t="inlineStr">
        <is>
          <t>needs_new_semantic</t>
        </is>
      </c>
    </row>
    <row r="179">
      <c r="A179" t="inlineStr">
        <is>
          <t>admin_core</t>
        </is>
      </c>
      <c r="B179" t="inlineStr">
        <is>
          <t>R5</t>
        </is>
      </c>
      <c r="C179" t="inlineStr">
        <is>
          <t>Organization</t>
        </is>
      </c>
      <c r="D179" t="inlineStr">
        <is>
          <t>Organization.language</t>
        </is>
      </c>
      <c r="E179" t="inlineStr">
        <is>
          <t>code</t>
        </is>
      </c>
      <c r="F179" t="inlineStr">
        <is>
          <t>0..1</t>
        </is>
      </c>
      <c r="G179" t="inlineStr">
        <is>
          <t>False</t>
        </is>
      </c>
      <c r="H179" t="inlineStr">
        <is>
          <t>http://hl7.org/fhir/StructureDefinition/Organization</t>
        </is>
      </c>
      <c r="I179" t="inlineStr">
        <is>
          <t>The base language in which the resource is written.</t>
        </is>
      </c>
      <c r="J179" t="inlineStr">
        <is>
          <t>http://hl7.org/fhir/StructureDefinition/Organization</t>
        </is>
      </c>
      <c r="K179" t="inlineStr"/>
      <c r="L179" t="inlineStr">
        <is>
          <t>needs_new_semantic</t>
        </is>
      </c>
    </row>
    <row r="180">
      <c r="A180" t="inlineStr">
        <is>
          <t>admin_core</t>
        </is>
      </c>
      <c r="B180" t="inlineStr">
        <is>
          <t>R5</t>
        </is>
      </c>
      <c r="C180" t="inlineStr">
        <is>
          <t>Organization</t>
        </is>
      </c>
      <c r="D180" t="inlineStr">
        <is>
          <t>Organization.meta</t>
        </is>
      </c>
      <c r="E180" t="inlineStr">
        <is>
          <t>Meta</t>
        </is>
      </c>
      <c r="F180" t="inlineStr">
        <is>
          <t>0..1</t>
        </is>
      </c>
      <c r="G180" t="inlineStr">
        <is>
          <t>False</t>
        </is>
      </c>
      <c r="H180" t="inlineStr">
        <is>
          <t>http://hl7.org/fhir/StructureDefinition/Organization</t>
        </is>
      </c>
      <c r="I180" t="inlineStr">
        <is>
          <t>The metadata about the resource. This is content that is maintained by the infrastructure. Changes to the content might not always be associated with version changes to the resource.</t>
        </is>
      </c>
      <c r="J180" t="inlineStr">
        <is>
          <t>http://hl7.org/fhir/StructureDefinition/Organization</t>
        </is>
      </c>
      <c r="K180" t="inlineStr"/>
      <c r="L180" t="inlineStr">
        <is>
          <t>needs_new_semantic</t>
        </is>
      </c>
    </row>
    <row r="181">
      <c r="A181" t="inlineStr">
        <is>
          <t>admin_core</t>
        </is>
      </c>
      <c r="B181" t="inlineStr">
        <is>
          <t>R5</t>
        </is>
      </c>
      <c r="C181" t="inlineStr">
        <is>
          <t>Organization</t>
        </is>
      </c>
      <c r="D181" t="inlineStr">
        <is>
          <t>Organization.modifierExtension</t>
        </is>
      </c>
      <c r="E181" t="inlineStr">
        <is>
          <t>Extension</t>
        </is>
      </c>
      <c r="F181" t="inlineStr">
        <is>
          <t>0..*</t>
        </is>
      </c>
      <c r="G181" t="inlineStr">
        <is>
          <t>False</t>
        </is>
      </c>
      <c r="H181" t="inlineStr">
        <is>
          <t>http://hl7.org/fhir/StructureDefinition/Organization</t>
        </is>
      </c>
      <c r="I181"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81" t="inlineStr">
        <is>
          <t>http://hl7.org/fhir/StructureDefinition/Organization</t>
        </is>
      </c>
      <c r="K181" t="inlineStr"/>
      <c r="L181" t="inlineStr">
        <is>
          <t>needs_new_semantic</t>
        </is>
      </c>
    </row>
    <row r="182">
      <c r="A182" t="inlineStr">
        <is>
          <t>admin_core</t>
        </is>
      </c>
      <c r="B182" t="inlineStr">
        <is>
          <t>R5</t>
        </is>
      </c>
      <c r="C182" t="inlineStr">
        <is>
          <t>Organization</t>
        </is>
      </c>
      <c r="D182" t="inlineStr">
        <is>
          <t>Organization.name</t>
        </is>
      </c>
      <c r="E182" t="inlineStr">
        <is>
          <t>string</t>
        </is>
      </c>
      <c r="F182" t="inlineStr">
        <is>
          <t>0..1</t>
        </is>
      </c>
      <c r="G182" t="inlineStr">
        <is>
          <t>False</t>
        </is>
      </c>
      <c r="H182" t="inlineStr">
        <is>
          <t>http://hl7.org/fhir/StructureDefinition/Organization</t>
        </is>
      </c>
      <c r="I182" t="inlineStr">
        <is>
          <t>A name associated with the organization.</t>
        </is>
      </c>
      <c r="J182" t="inlineStr">
        <is>
          <t>http://hl7.org/fhir/StructureDefinition/Organization</t>
        </is>
      </c>
      <c r="K182" t="inlineStr"/>
      <c r="L182" t="inlineStr">
        <is>
          <t>needs_new_semantic</t>
        </is>
      </c>
    </row>
    <row r="183">
      <c r="A183" t="inlineStr">
        <is>
          <t>admin_core</t>
        </is>
      </c>
      <c r="B183" t="inlineStr">
        <is>
          <t>R5</t>
        </is>
      </c>
      <c r="C183" t="inlineStr">
        <is>
          <t>Organization</t>
        </is>
      </c>
      <c r="D183" t="inlineStr">
        <is>
          <t>Organization.partOf</t>
        </is>
      </c>
      <c r="E183" t="inlineStr">
        <is>
          <t>Reference</t>
        </is>
      </c>
      <c r="F183" t="inlineStr">
        <is>
          <t>0..1</t>
        </is>
      </c>
      <c r="G183" t="inlineStr">
        <is>
          <t>False</t>
        </is>
      </c>
      <c r="H183" t="inlineStr">
        <is>
          <t>http://hl7.org/fhir/StructureDefinition/Organization</t>
        </is>
      </c>
      <c r="I183" t="inlineStr">
        <is>
          <t>The organization of which this organization forms a part.</t>
        </is>
      </c>
      <c r="J183" t="inlineStr">
        <is>
          <t>http://hl7.org/fhir/StructureDefinition/Organization</t>
        </is>
      </c>
      <c r="K183" t="inlineStr"/>
      <c r="L183" t="inlineStr">
        <is>
          <t>needs_new_semantic</t>
        </is>
      </c>
    </row>
    <row r="184">
      <c r="A184" t="inlineStr">
        <is>
          <t>admin_core</t>
        </is>
      </c>
      <c r="B184" t="inlineStr">
        <is>
          <t>R5</t>
        </is>
      </c>
      <c r="C184" t="inlineStr">
        <is>
          <t>Organization</t>
        </is>
      </c>
      <c r="D184" t="inlineStr">
        <is>
          <t>Organization.qualification</t>
        </is>
      </c>
      <c r="E184" t="inlineStr">
        <is>
          <t>BackboneElement</t>
        </is>
      </c>
      <c r="F184" t="inlineStr">
        <is>
          <t>0..*</t>
        </is>
      </c>
      <c r="G184" t="inlineStr">
        <is>
          <t>False</t>
        </is>
      </c>
      <c r="H184" t="inlineStr">
        <is>
          <t>http://hl7.org/fhir/StructureDefinition/Organization</t>
        </is>
      </c>
      <c r="I184" t="inlineStr">
        <is>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is>
      </c>
      <c r="J184" t="inlineStr">
        <is>
          <t>http://hl7.org/fhir/StructureDefinition/Organization</t>
        </is>
      </c>
      <c r="K184" t="inlineStr"/>
      <c r="L184" t="inlineStr">
        <is>
          <t>needs_new_semantic</t>
        </is>
      </c>
    </row>
    <row r="185">
      <c r="A185" t="inlineStr">
        <is>
          <t>admin_core</t>
        </is>
      </c>
      <c r="B185" t="inlineStr">
        <is>
          <t>R5</t>
        </is>
      </c>
      <c r="C185" t="inlineStr">
        <is>
          <t>Organization</t>
        </is>
      </c>
      <c r="D185" t="inlineStr">
        <is>
          <t>Organization.qualification.code</t>
        </is>
      </c>
      <c r="E185" t="inlineStr">
        <is>
          <t>CodeableConcept</t>
        </is>
      </c>
      <c r="F185" t="inlineStr">
        <is>
          <t>1..1</t>
        </is>
      </c>
      <c r="G185" t="inlineStr">
        <is>
          <t>False</t>
        </is>
      </c>
      <c r="H185" t="inlineStr">
        <is>
          <t>http://hl7.org/fhir/StructureDefinition/Organization</t>
        </is>
      </c>
      <c r="I185" t="inlineStr">
        <is>
          <t>Coded representation of the qualification.</t>
        </is>
      </c>
      <c r="J185" t="inlineStr">
        <is>
          <t>http://hl7.org/fhir/StructureDefinition/Organization</t>
        </is>
      </c>
      <c r="K185" t="inlineStr"/>
      <c r="L185" t="inlineStr">
        <is>
          <t>needs_new_semantic</t>
        </is>
      </c>
    </row>
    <row r="186">
      <c r="A186" t="inlineStr">
        <is>
          <t>admin_core</t>
        </is>
      </c>
      <c r="B186" t="inlineStr">
        <is>
          <t>R5</t>
        </is>
      </c>
      <c r="C186" t="inlineStr">
        <is>
          <t>Organization</t>
        </is>
      </c>
      <c r="D186" t="inlineStr">
        <is>
          <t>Organization.qualification.extension</t>
        </is>
      </c>
      <c r="E186" t="inlineStr">
        <is>
          <t>Extension</t>
        </is>
      </c>
      <c r="F186" t="inlineStr">
        <is>
          <t>0..*</t>
        </is>
      </c>
      <c r="G186" t="inlineStr"/>
      <c r="H186" t="inlineStr">
        <is>
          <t>http://hl7.org/fhir/StructureDefinition/Organization</t>
        </is>
      </c>
      <c r="I186"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86" t="inlineStr">
        <is>
          <t>http://hl7.org/fhir/StructureDefinition/Organization</t>
        </is>
      </c>
      <c r="K186" t="inlineStr"/>
      <c r="L186" t="inlineStr">
        <is>
          <t>needs_new_semantic</t>
        </is>
      </c>
    </row>
    <row r="187">
      <c r="A187" t="inlineStr">
        <is>
          <t>admin_core</t>
        </is>
      </c>
      <c r="B187" t="inlineStr">
        <is>
          <t>R5</t>
        </is>
      </c>
      <c r="C187" t="inlineStr">
        <is>
          <t>Organization</t>
        </is>
      </c>
      <c r="D187" t="inlineStr">
        <is>
          <t>Organization.qualification.id</t>
        </is>
      </c>
      <c r="E187" t="inlineStr">
        <is>
          <t>http://hl7.org/fhirpath/System.String</t>
        </is>
      </c>
      <c r="F187" t="inlineStr">
        <is>
          <t>0..1</t>
        </is>
      </c>
      <c r="G187" t="inlineStr"/>
      <c r="H187" t="inlineStr">
        <is>
          <t>http://hl7.org/fhir/StructureDefinition/Organization</t>
        </is>
      </c>
      <c r="I187" t="inlineStr">
        <is>
          <t>Unique id for the element within a resource (for internal references). This may be any string value that does not contain spaces.</t>
        </is>
      </c>
      <c r="J187" t="inlineStr">
        <is>
          <t>http://hl7.org/fhir/StructureDefinition/Organization</t>
        </is>
      </c>
      <c r="K187" t="inlineStr"/>
      <c r="L187" t="inlineStr">
        <is>
          <t>needs_new_semantic</t>
        </is>
      </c>
    </row>
    <row r="188">
      <c r="A188" t="inlineStr">
        <is>
          <t>admin_core</t>
        </is>
      </c>
      <c r="B188" t="inlineStr">
        <is>
          <t>R5</t>
        </is>
      </c>
      <c r="C188" t="inlineStr">
        <is>
          <t>Organization</t>
        </is>
      </c>
      <c r="D188" t="inlineStr">
        <is>
          <t>Organization.qualification.identifier</t>
        </is>
      </c>
      <c r="E188" t="inlineStr">
        <is>
          <t>Identifier</t>
        </is>
      </c>
      <c r="F188" t="inlineStr">
        <is>
          <t>0..*</t>
        </is>
      </c>
      <c r="G188" t="inlineStr">
        <is>
          <t>False</t>
        </is>
      </c>
      <c r="H188" t="inlineStr">
        <is>
          <t>http://hl7.org/fhir/StructureDefinition/Organization</t>
        </is>
      </c>
      <c r="I188" t="inlineStr">
        <is>
          <t>An identifier allocated to this qualification for this organization.</t>
        </is>
      </c>
      <c r="J188" t="inlineStr">
        <is>
          <t>http://hl7.org/fhir/StructureDefinition/Organization</t>
        </is>
      </c>
      <c r="K188" t="inlineStr"/>
      <c r="L188" t="inlineStr">
        <is>
          <t>needs_new_semantic</t>
        </is>
      </c>
    </row>
    <row r="189">
      <c r="A189" t="inlineStr">
        <is>
          <t>admin_core</t>
        </is>
      </c>
      <c r="B189" t="inlineStr">
        <is>
          <t>R5</t>
        </is>
      </c>
      <c r="C189" t="inlineStr">
        <is>
          <t>Organization</t>
        </is>
      </c>
      <c r="D189" t="inlineStr">
        <is>
          <t>Organization.qualification.issuer</t>
        </is>
      </c>
      <c r="E189" t="inlineStr">
        <is>
          <t>Reference</t>
        </is>
      </c>
      <c r="F189" t="inlineStr">
        <is>
          <t>0..1</t>
        </is>
      </c>
      <c r="G189" t="inlineStr">
        <is>
          <t>False</t>
        </is>
      </c>
      <c r="H189" t="inlineStr">
        <is>
          <t>http://hl7.org/fhir/StructureDefinition/Organization</t>
        </is>
      </c>
      <c r="I189" t="inlineStr">
        <is>
          <t>Organization that regulates and issues the qualification.</t>
        </is>
      </c>
      <c r="J189" t="inlineStr">
        <is>
          <t>http://hl7.org/fhir/StructureDefinition/Organization</t>
        </is>
      </c>
      <c r="K189" t="inlineStr"/>
      <c r="L189" t="inlineStr">
        <is>
          <t>needs_new_semantic</t>
        </is>
      </c>
    </row>
    <row r="190">
      <c r="A190" t="inlineStr">
        <is>
          <t>admin_core</t>
        </is>
      </c>
      <c r="B190" t="inlineStr">
        <is>
          <t>R5</t>
        </is>
      </c>
      <c r="C190" t="inlineStr">
        <is>
          <t>Organization</t>
        </is>
      </c>
      <c r="D190" t="inlineStr">
        <is>
          <t>Organization.qualification.modifierExtension</t>
        </is>
      </c>
      <c r="E190" t="inlineStr">
        <is>
          <t>Extension</t>
        </is>
      </c>
      <c r="F190" t="inlineStr">
        <is>
          <t>0..*</t>
        </is>
      </c>
      <c r="G190" t="inlineStr"/>
      <c r="H190" t="inlineStr">
        <is>
          <t>http://hl7.org/fhir/StructureDefinition/Organization</t>
        </is>
      </c>
      <c r="I190"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90" t="inlineStr">
        <is>
          <t>http://hl7.org/fhir/StructureDefinition/Organization</t>
        </is>
      </c>
      <c r="K190" t="inlineStr"/>
      <c r="L190" t="inlineStr">
        <is>
          <t>needs_new_semantic</t>
        </is>
      </c>
    </row>
    <row r="191">
      <c r="A191" t="inlineStr">
        <is>
          <t>admin_core</t>
        </is>
      </c>
      <c r="B191" t="inlineStr">
        <is>
          <t>R5</t>
        </is>
      </c>
      <c r="C191" t="inlineStr">
        <is>
          <t>Organization</t>
        </is>
      </c>
      <c r="D191" t="inlineStr">
        <is>
          <t>Organization.qualification.period</t>
        </is>
      </c>
      <c r="E191" t="inlineStr">
        <is>
          <t>Period</t>
        </is>
      </c>
      <c r="F191" t="inlineStr">
        <is>
          <t>0..1</t>
        </is>
      </c>
      <c r="G191" t="inlineStr">
        <is>
          <t>False</t>
        </is>
      </c>
      <c r="H191" t="inlineStr">
        <is>
          <t>http://hl7.org/fhir/StructureDefinition/Organization</t>
        </is>
      </c>
      <c r="I191" t="inlineStr">
        <is>
          <t>Period during which the qualification is valid.</t>
        </is>
      </c>
      <c r="J191" t="inlineStr">
        <is>
          <t>http://hl7.org/fhir/StructureDefinition/Organization</t>
        </is>
      </c>
      <c r="K191" t="inlineStr"/>
      <c r="L191" t="inlineStr">
        <is>
          <t>needs_new_semantic</t>
        </is>
      </c>
    </row>
    <row r="192">
      <c r="A192" t="inlineStr">
        <is>
          <t>admin_core</t>
        </is>
      </c>
      <c r="B192" t="inlineStr">
        <is>
          <t>R5</t>
        </is>
      </c>
      <c r="C192" t="inlineStr">
        <is>
          <t>Organization</t>
        </is>
      </c>
      <c r="D192" t="inlineStr">
        <is>
          <t>Organization.text</t>
        </is>
      </c>
      <c r="E192" t="inlineStr">
        <is>
          <t>Narrative</t>
        </is>
      </c>
      <c r="F192" t="inlineStr">
        <is>
          <t>0..1</t>
        </is>
      </c>
      <c r="G192" t="inlineStr">
        <is>
          <t>False</t>
        </is>
      </c>
      <c r="H192" t="inlineStr">
        <is>
          <t>http://hl7.org/fhir/StructureDefinition/Organization</t>
        </is>
      </c>
      <c r="I192"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192" t="inlineStr">
        <is>
          <t>http://hl7.org/fhir/StructureDefinition/Organization</t>
        </is>
      </c>
      <c r="K192" t="inlineStr"/>
      <c r="L192" t="inlineStr">
        <is>
          <t>needs_new_semantic</t>
        </is>
      </c>
    </row>
    <row r="193">
      <c r="A193" t="inlineStr">
        <is>
          <t>admin_core</t>
        </is>
      </c>
      <c r="B193" t="inlineStr">
        <is>
          <t>R5</t>
        </is>
      </c>
      <c r="C193" t="inlineStr">
        <is>
          <t>Organization</t>
        </is>
      </c>
      <c r="D193" t="inlineStr">
        <is>
          <t>Organization.type</t>
        </is>
      </c>
      <c r="E193" t="inlineStr">
        <is>
          <t>CodeableConcept</t>
        </is>
      </c>
      <c r="F193" t="inlineStr">
        <is>
          <t>0..*</t>
        </is>
      </c>
      <c r="G193" t="inlineStr">
        <is>
          <t>False</t>
        </is>
      </c>
      <c r="H193" t="inlineStr">
        <is>
          <t>http://hl7.org/fhir/StructureDefinition/Organization</t>
        </is>
      </c>
      <c r="I193" t="inlineStr">
        <is>
          <t>The kind(s) of organization that this is.</t>
        </is>
      </c>
      <c r="J193" t="inlineStr">
        <is>
          <t>http://hl7.org/fhir/StructureDefinition/Organization</t>
        </is>
      </c>
      <c r="K193" t="inlineStr"/>
      <c r="L193" t="inlineStr">
        <is>
          <t>needs_new_semantic</t>
        </is>
      </c>
    </row>
    <row r="194">
      <c r="A194" t="inlineStr">
        <is>
          <t>admin_core</t>
        </is>
      </c>
      <c r="B194" t="inlineStr">
        <is>
          <t>R5</t>
        </is>
      </c>
      <c r="C194" t="inlineStr">
        <is>
          <t>Patient</t>
        </is>
      </c>
      <c r="D194" t="inlineStr">
        <is>
          <t>Patient.active</t>
        </is>
      </c>
      <c r="E194" t="inlineStr">
        <is>
          <t>boolean</t>
        </is>
      </c>
      <c r="F194" t="inlineStr">
        <is>
          <t>0..1</t>
        </is>
      </c>
      <c r="G194" t="inlineStr">
        <is>
          <t>False</t>
        </is>
      </c>
      <c r="H194" t="inlineStr">
        <is>
          <t>http://hl7.org/fhir/StructureDefinition/Patient</t>
        </is>
      </c>
      <c r="I194" t="inlineStr">
        <is>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is>
      </c>
      <c r="J194" t="inlineStr">
        <is>
          <t>http://hl7.org/fhir/StructureDefinition/Patient</t>
        </is>
      </c>
      <c r="K194" t="inlineStr"/>
      <c r="L194" t="inlineStr">
        <is>
          <t>needs_new_semantic</t>
        </is>
      </c>
    </row>
    <row r="195">
      <c r="A195" t="inlineStr">
        <is>
          <t>admin_core</t>
        </is>
      </c>
      <c r="B195" t="inlineStr">
        <is>
          <t>R5</t>
        </is>
      </c>
      <c r="C195" t="inlineStr">
        <is>
          <t>Patient</t>
        </is>
      </c>
      <c r="D195" t="inlineStr">
        <is>
          <t>Patient.address</t>
        </is>
      </c>
      <c r="E195" t="inlineStr">
        <is>
          <t>Address (0..*)</t>
        </is>
      </c>
      <c r="F195" t="inlineStr">
        <is>
          <t>0..*</t>
        </is>
      </c>
      <c r="G195" t="inlineStr"/>
      <c r="H195" t="inlineStr">
        <is>
          <t>http://hl7.org/fhir/us/core/StructureDefinition/us-core-patient</t>
        </is>
      </c>
      <c r="I195" t="inlineStr">
        <is>
          <t>An address for the individual.</t>
        </is>
      </c>
      <c r="J195" t="inlineStr">
        <is>
          <t>http://hl7.org/fhir/StructureDefinition/Patient</t>
        </is>
      </c>
      <c r="K195" t="inlineStr">
        <is>
          <t>Patient.address</t>
        </is>
      </c>
      <c r="L195" t="inlineStr">
        <is>
          <t>mapped</t>
        </is>
      </c>
    </row>
    <row r="196">
      <c r="A196" t="inlineStr">
        <is>
          <t>admin_core</t>
        </is>
      </c>
      <c r="B196" t="inlineStr">
        <is>
          <t>R5</t>
        </is>
      </c>
      <c r="C196" t="inlineStr">
        <is>
          <t>Patient</t>
        </is>
      </c>
      <c r="D196" t="inlineStr">
        <is>
          <t>Patient.birthDate</t>
        </is>
      </c>
      <c r="E196" t="inlineStr">
        <is>
          <t>date</t>
        </is>
      </c>
      <c r="F196" t="inlineStr">
        <is>
          <t>0..1</t>
        </is>
      </c>
      <c r="G196" t="inlineStr"/>
      <c r="H196" t="inlineStr">
        <is>
          <t>http://hl7.org/fhir/us/core/StructureDefinition/us-core-patient</t>
        </is>
      </c>
      <c r="I196" t="inlineStr">
        <is>
          <t>The date of birth for the individual.</t>
        </is>
      </c>
      <c r="J196" t="inlineStr">
        <is>
          <t>http://hl7.org/fhir/StructureDefinition/Patient</t>
        </is>
      </c>
      <c r="K196" t="inlineStr">
        <is>
          <t>Patient.birth_date</t>
        </is>
      </c>
      <c r="L196" t="inlineStr">
        <is>
          <t>mapped</t>
        </is>
      </c>
    </row>
    <row r="197">
      <c r="A197" t="inlineStr">
        <is>
          <t>admin_core</t>
        </is>
      </c>
      <c r="B197" t="inlineStr">
        <is>
          <t>R5</t>
        </is>
      </c>
      <c r="C197" t="inlineStr">
        <is>
          <t>Patient</t>
        </is>
      </c>
      <c r="D197" t="inlineStr">
        <is>
          <t>Patient.communication</t>
        </is>
      </c>
      <c r="E197" t="inlineStr">
        <is>
          <t>BackboneElement</t>
        </is>
      </c>
      <c r="F197" t="inlineStr">
        <is>
          <t>0..*</t>
        </is>
      </c>
      <c r="G197" t="inlineStr">
        <is>
          <t>False</t>
        </is>
      </c>
      <c r="H197" t="inlineStr">
        <is>
          <t>http://hl7.org/fhir/StructureDefinition/Patient</t>
        </is>
      </c>
      <c r="I197" t="inlineStr">
        <is>
          <t>A language which may be used to communicate with the patient about his or her health.</t>
        </is>
      </c>
      <c r="J197" t="inlineStr">
        <is>
          <t>http://hl7.org/fhir/StructureDefinition/Patient</t>
        </is>
      </c>
      <c r="K197" t="inlineStr"/>
      <c r="L197" t="inlineStr">
        <is>
          <t>needs_new_semantic</t>
        </is>
      </c>
    </row>
    <row r="198">
      <c r="A198" t="inlineStr">
        <is>
          <t>admin_core</t>
        </is>
      </c>
      <c r="B198" t="inlineStr">
        <is>
          <t>R5</t>
        </is>
      </c>
      <c r="C198" t="inlineStr">
        <is>
          <t>Patient</t>
        </is>
      </c>
      <c r="D198" t="inlineStr">
        <is>
          <t>Patient.communication.extension</t>
        </is>
      </c>
      <c r="E198" t="inlineStr">
        <is>
          <t>Extension</t>
        </is>
      </c>
      <c r="F198" t="inlineStr">
        <is>
          <t>0..*</t>
        </is>
      </c>
      <c r="G198" t="inlineStr"/>
      <c r="H198" t="inlineStr">
        <is>
          <t>http://hl7.org/fhir/StructureDefinition/Patient</t>
        </is>
      </c>
      <c r="I198"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98" t="inlineStr">
        <is>
          <t>http://hl7.org/fhir/StructureDefinition/Patient</t>
        </is>
      </c>
      <c r="K198" t="inlineStr"/>
      <c r="L198" t="inlineStr">
        <is>
          <t>needs_new_semantic</t>
        </is>
      </c>
    </row>
    <row r="199">
      <c r="A199" t="inlineStr">
        <is>
          <t>admin_core</t>
        </is>
      </c>
      <c r="B199" t="inlineStr">
        <is>
          <t>R5</t>
        </is>
      </c>
      <c r="C199" t="inlineStr">
        <is>
          <t>Patient</t>
        </is>
      </c>
      <c r="D199" t="inlineStr">
        <is>
          <t>Patient.communication.id</t>
        </is>
      </c>
      <c r="E199" t="inlineStr">
        <is>
          <t>http://hl7.org/fhirpath/System.String</t>
        </is>
      </c>
      <c r="F199" t="inlineStr">
        <is>
          <t>0..1</t>
        </is>
      </c>
      <c r="G199" t="inlineStr"/>
      <c r="H199" t="inlineStr">
        <is>
          <t>http://hl7.org/fhir/StructureDefinition/Patient</t>
        </is>
      </c>
      <c r="I199" t="inlineStr">
        <is>
          <t>Unique id for the element within a resource (for internal references). This may be any string value that does not contain spaces.</t>
        </is>
      </c>
      <c r="J199" t="inlineStr">
        <is>
          <t>http://hl7.org/fhir/StructureDefinition/Patient</t>
        </is>
      </c>
      <c r="K199" t="inlineStr"/>
      <c r="L199" t="inlineStr">
        <is>
          <t>needs_new_semantic</t>
        </is>
      </c>
    </row>
    <row r="200">
      <c r="A200" t="inlineStr">
        <is>
          <t>admin_core</t>
        </is>
      </c>
      <c r="B200" t="inlineStr">
        <is>
          <t>R5</t>
        </is>
      </c>
      <c r="C200" t="inlineStr">
        <is>
          <t>Patient</t>
        </is>
      </c>
      <c r="D200" t="inlineStr">
        <is>
          <t>Patient.communication.language</t>
        </is>
      </c>
      <c r="E200" t="inlineStr">
        <is>
          <t>CodeableConcept (0..*)</t>
        </is>
      </c>
      <c r="F200" t="inlineStr">
        <is>
          <t>1..1</t>
        </is>
      </c>
      <c r="G200" t="inlineStr"/>
      <c r="H200" t="inlineStr">
        <is>
          <t>http://hl7.org/fhir/us/core/StructureDefinition/us-core-patient</t>
        </is>
      </c>
      <c r="I200" t="inlineStr">
        <is>
          <t>The ISO-639-1 alpha 2 code in lower case for the language, optionally followed by a hyphen and the ISO-3166-1 alpha 2 code for the region in upper case; e.g. "en" for English, or "en-US" for American English versus "en-AU" for Australian English.</t>
        </is>
      </c>
      <c r="J200" t="inlineStr">
        <is>
          <t>http://hl7.org/fhir/StructureDefinition/Patient</t>
        </is>
      </c>
      <c r="K200" t="inlineStr">
        <is>
          <t>Patient.language</t>
        </is>
      </c>
      <c r="L200" t="inlineStr">
        <is>
          <t>mapped</t>
        </is>
      </c>
    </row>
    <row r="201">
      <c r="A201" t="inlineStr">
        <is>
          <t>admin_core</t>
        </is>
      </c>
      <c r="B201" t="inlineStr">
        <is>
          <t>R5</t>
        </is>
      </c>
      <c r="C201" t="inlineStr">
        <is>
          <t>Patient</t>
        </is>
      </c>
      <c r="D201" t="inlineStr">
        <is>
          <t>Patient.communication.modifierExtension</t>
        </is>
      </c>
      <c r="E201" t="inlineStr">
        <is>
          <t>Extension</t>
        </is>
      </c>
      <c r="F201" t="inlineStr">
        <is>
          <t>0..*</t>
        </is>
      </c>
      <c r="G201" t="inlineStr"/>
      <c r="H201" t="inlineStr">
        <is>
          <t>http://hl7.org/fhir/StructureDefinition/Patient</t>
        </is>
      </c>
      <c r="I201"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01" t="inlineStr">
        <is>
          <t>http://hl7.org/fhir/StructureDefinition/Patient</t>
        </is>
      </c>
      <c r="K201" t="inlineStr"/>
      <c r="L201" t="inlineStr">
        <is>
          <t>needs_new_semantic</t>
        </is>
      </c>
    </row>
    <row r="202">
      <c r="A202" t="inlineStr">
        <is>
          <t>admin_core</t>
        </is>
      </c>
      <c r="B202" t="inlineStr">
        <is>
          <t>R5</t>
        </is>
      </c>
      <c r="C202" t="inlineStr">
        <is>
          <t>Patient</t>
        </is>
      </c>
      <c r="D202" t="inlineStr">
        <is>
          <t>Patient.communication.preferred</t>
        </is>
      </c>
      <c r="E202" t="inlineStr">
        <is>
          <t>boolean</t>
        </is>
      </c>
      <c r="F202" t="inlineStr">
        <is>
          <t>0..1</t>
        </is>
      </c>
      <c r="G202" t="inlineStr">
        <is>
          <t>False</t>
        </is>
      </c>
      <c r="H202" t="inlineStr">
        <is>
          <t>http://hl7.org/fhir/StructureDefinition/Patient</t>
        </is>
      </c>
      <c r="I202" t="inlineStr">
        <is>
          <t>Indicates whether or not the patient prefers this language (over other languages he masters up a certain level).</t>
        </is>
      </c>
      <c r="J202" t="inlineStr">
        <is>
          <t>http://hl7.org/fhir/StructureDefinition/Patient</t>
        </is>
      </c>
      <c r="K202" t="inlineStr"/>
      <c r="L202" t="inlineStr">
        <is>
          <t>needs_new_semantic</t>
        </is>
      </c>
    </row>
    <row r="203">
      <c r="A203" t="inlineStr">
        <is>
          <t>admin_core</t>
        </is>
      </c>
      <c r="B203" t="inlineStr">
        <is>
          <t>R5</t>
        </is>
      </c>
      <c r="C203" t="inlineStr">
        <is>
          <t>Patient</t>
        </is>
      </c>
      <c r="D203" t="inlineStr">
        <is>
          <t>Patient.contact</t>
        </is>
      </c>
      <c r="E203" t="inlineStr">
        <is>
          <t>BackboneElement</t>
        </is>
      </c>
      <c r="F203" t="inlineStr">
        <is>
          <t>0..*</t>
        </is>
      </c>
      <c r="G203" t="inlineStr">
        <is>
          <t>False</t>
        </is>
      </c>
      <c r="H203" t="inlineStr">
        <is>
          <t>http://hl7.org/fhir/StructureDefinition/Patient</t>
        </is>
      </c>
      <c r="I203" t="inlineStr">
        <is>
          <t>A contact party (e.g. guardian, partner, friend) for the patient.</t>
        </is>
      </c>
      <c r="J203" t="inlineStr">
        <is>
          <t>http://hl7.org/fhir/StructureDefinition/Patient</t>
        </is>
      </c>
      <c r="K203" t="inlineStr"/>
      <c r="L203" t="inlineStr">
        <is>
          <t>needs_new_semantic</t>
        </is>
      </c>
    </row>
    <row r="204">
      <c r="A204" t="inlineStr">
        <is>
          <t>admin_core</t>
        </is>
      </c>
      <c r="B204" t="inlineStr">
        <is>
          <t>R5</t>
        </is>
      </c>
      <c r="C204" t="inlineStr">
        <is>
          <t>Patient</t>
        </is>
      </c>
      <c r="D204" t="inlineStr">
        <is>
          <t>Patient.contact.address</t>
        </is>
      </c>
      <c r="E204" t="inlineStr">
        <is>
          <t>Address</t>
        </is>
      </c>
      <c r="F204" t="inlineStr">
        <is>
          <t>0..1</t>
        </is>
      </c>
      <c r="G204" t="inlineStr">
        <is>
          <t>False</t>
        </is>
      </c>
      <c r="H204" t="inlineStr">
        <is>
          <t>http://hl7.org/fhir/StructureDefinition/Patient</t>
        </is>
      </c>
      <c r="I204" t="inlineStr">
        <is>
          <t>Address for the contact person.</t>
        </is>
      </c>
      <c r="J204" t="inlineStr">
        <is>
          <t>http://hl7.org/fhir/StructureDefinition/Patient</t>
        </is>
      </c>
      <c r="K204" t="inlineStr"/>
      <c r="L204" t="inlineStr">
        <is>
          <t>needs_new_semantic</t>
        </is>
      </c>
    </row>
    <row r="205">
      <c r="A205" t="inlineStr">
        <is>
          <t>admin_core</t>
        </is>
      </c>
      <c r="B205" t="inlineStr">
        <is>
          <t>R5</t>
        </is>
      </c>
      <c r="C205" t="inlineStr">
        <is>
          <t>Patient</t>
        </is>
      </c>
      <c r="D205" t="inlineStr">
        <is>
          <t>Patient.contact.extension</t>
        </is>
      </c>
      <c r="E205" t="inlineStr">
        <is>
          <t>Extension</t>
        </is>
      </c>
      <c r="F205" t="inlineStr">
        <is>
          <t>0..*</t>
        </is>
      </c>
      <c r="G205" t="inlineStr"/>
      <c r="H205" t="inlineStr">
        <is>
          <t>http://hl7.org/fhir/StructureDefinition/Patient</t>
        </is>
      </c>
      <c r="I205"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05" t="inlineStr">
        <is>
          <t>http://hl7.org/fhir/StructureDefinition/Patient</t>
        </is>
      </c>
      <c r="K205" t="inlineStr"/>
      <c r="L205" t="inlineStr">
        <is>
          <t>needs_new_semantic</t>
        </is>
      </c>
    </row>
    <row r="206">
      <c r="A206" t="inlineStr">
        <is>
          <t>admin_core</t>
        </is>
      </c>
      <c r="B206" t="inlineStr">
        <is>
          <t>R5</t>
        </is>
      </c>
      <c r="C206" t="inlineStr">
        <is>
          <t>Patient</t>
        </is>
      </c>
      <c r="D206" t="inlineStr">
        <is>
          <t>Patient.contact.gender</t>
        </is>
      </c>
      <c r="E206" t="inlineStr">
        <is>
          <t>code</t>
        </is>
      </c>
      <c r="F206" t="inlineStr">
        <is>
          <t>0..1</t>
        </is>
      </c>
      <c r="G206" t="inlineStr">
        <is>
          <t>False</t>
        </is>
      </c>
      <c r="H206" t="inlineStr">
        <is>
          <t>http://hl7.org/fhir/StructureDefinition/Patient</t>
        </is>
      </c>
      <c r="I206" t="inlineStr">
        <is>
          <t>Administrative Gender - the gender that the contact person is considered to have for administration and record keeping purposes.</t>
        </is>
      </c>
      <c r="J206" t="inlineStr">
        <is>
          <t>http://hl7.org/fhir/StructureDefinition/Patient</t>
        </is>
      </c>
      <c r="K206" t="inlineStr"/>
      <c r="L206" t="inlineStr">
        <is>
          <t>needs_new_semantic</t>
        </is>
      </c>
    </row>
    <row r="207">
      <c r="A207" t="inlineStr">
        <is>
          <t>admin_core</t>
        </is>
      </c>
      <c r="B207" t="inlineStr">
        <is>
          <t>R5</t>
        </is>
      </c>
      <c r="C207" t="inlineStr">
        <is>
          <t>Patient</t>
        </is>
      </c>
      <c r="D207" t="inlineStr">
        <is>
          <t>Patient.contact.id</t>
        </is>
      </c>
      <c r="E207" t="inlineStr">
        <is>
          <t>http://hl7.org/fhirpath/System.String</t>
        </is>
      </c>
      <c r="F207" t="inlineStr">
        <is>
          <t>0..1</t>
        </is>
      </c>
      <c r="G207" t="inlineStr"/>
      <c r="H207" t="inlineStr">
        <is>
          <t>http://hl7.org/fhir/StructureDefinition/Patient</t>
        </is>
      </c>
      <c r="I207" t="inlineStr">
        <is>
          <t>Unique id for the element within a resource (for internal references). This may be any string value that does not contain spaces.</t>
        </is>
      </c>
      <c r="J207" t="inlineStr">
        <is>
          <t>http://hl7.org/fhir/StructureDefinition/Patient</t>
        </is>
      </c>
      <c r="K207" t="inlineStr"/>
      <c r="L207" t="inlineStr">
        <is>
          <t>needs_new_semantic</t>
        </is>
      </c>
    </row>
    <row r="208">
      <c r="A208" t="inlineStr">
        <is>
          <t>admin_core</t>
        </is>
      </c>
      <c r="B208" t="inlineStr">
        <is>
          <t>R5</t>
        </is>
      </c>
      <c r="C208" t="inlineStr">
        <is>
          <t>Patient</t>
        </is>
      </c>
      <c r="D208" t="inlineStr">
        <is>
          <t>Patient.contact.modifierExtension</t>
        </is>
      </c>
      <c r="E208" t="inlineStr">
        <is>
          <t>Extension</t>
        </is>
      </c>
      <c r="F208" t="inlineStr">
        <is>
          <t>0..*</t>
        </is>
      </c>
      <c r="G208" t="inlineStr"/>
      <c r="H208" t="inlineStr">
        <is>
          <t>http://hl7.org/fhir/StructureDefinition/Patient</t>
        </is>
      </c>
      <c r="I208"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08" t="inlineStr">
        <is>
          <t>http://hl7.org/fhir/StructureDefinition/Patient</t>
        </is>
      </c>
      <c r="K208" t="inlineStr"/>
      <c r="L208" t="inlineStr">
        <is>
          <t>needs_new_semantic</t>
        </is>
      </c>
    </row>
    <row r="209">
      <c r="A209" t="inlineStr">
        <is>
          <t>admin_core</t>
        </is>
      </c>
      <c r="B209" t="inlineStr">
        <is>
          <t>R5</t>
        </is>
      </c>
      <c r="C209" t="inlineStr">
        <is>
          <t>Patient</t>
        </is>
      </c>
      <c r="D209" t="inlineStr">
        <is>
          <t>Patient.contact.name</t>
        </is>
      </c>
      <c r="E209" t="inlineStr">
        <is>
          <t>HumanName</t>
        </is>
      </c>
      <c r="F209" t="inlineStr">
        <is>
          <t>0..1</t>
        </is>
      </c>
      <c r="G209" t="inlineStr">
        <is>
          <t>False</t>
        </is>
      </c>
      <c r="H209" t="inlineStr">
        <is>
          <t>http://hl7.org/fhir/StructureDefinition/Patient</t>
        </is>
      </c>
      <c r="I209" t="inlineStr">
        <is>
          <t>A name associated with the contact person.</t>
        </is>
      </c>
      <c r="J209" t="inlineStr">
        <is>
          <t>http://hl7.org/fhir/StructureDefinition/Patient</t>
        </is>
      </c>
      <c r="K209" t="inlineStr"/>
      <c r="L209" t="inlineStr">
        <is>
          <t>needs_new_semantic</t>
        </is>
      </c>
    </row>
    <row r="210">
      <c r="A210" t="inlineStr">
        <is>
          <t>admin_core</t>
        </is>
      </c>
      <c r="B210" t="inlineStr">
        <is>
          <t>R5</t>
        </is>
      </c>
      <c r="C210" t="inlineStr">
        <is>
          <t>Patient</t>
        </is>
      </c>
      <c r="D210" t="inlineStr">
        <is>
          <t>Patient.contact.organization</t>
        </is>
      </c>
      <c r="E210" t="inlineStr">
        <is>
          <t>Reference</t>
        </is>
      </c>
      <c r="F210" t="inlineStr">
        <is>
          <t>0..1</t>
        </is>
      </c>
      <c r="G210" t="inlineStr">
        <is>
          <t>False</t>
        </is>
      </c>
      <c r="H210" t="inlineStr">
        <is>
          <t>http://hl7.org/fhir/StructureDefinition/Patient</t>
        </is>
      </c>
      <c r="I210" t="inlineStr">
        <is>
          <t>Organization on behalf of which the contact is acting or for which the contact is working.</t>
        </is>
      </c>
      <c r="J210" t="inlineStr">
        <is>
          <t>http://hl7.org/fhir/StructureDefinition/Patient</t>
        </is>
      </c>
      <c r="K210" t="inlineStr"/>
      <c r="L210" t="inlineStr">
        <is>
          <t>needs_new_semantic</t>
        </is>
      </c>
    </row>
    <row r="211">
      <c r="A211" t="inlineStr">
        <is>
          <t>admin_core</t>
        </is>
      </c>
      <c r="B211" t="inlineStr">
        <is>
          <t>R5</t>
        </is>
      </c>
      <c r="C211" t="inlineStr">
        <is>
          <t>Patient</t>
        </is>
      </c>
      <c r="D211" t="inlineStr">
        <is>
          <t>Patient.contact.period</t>
        </is>
      </c>
      <c r="E211" t="inlineStr">
        <is>
          <t>Period</t>
        </is>
      </c>
      <c r="F211" t="inlineStr">
        <is>
          <t>0..1</t>
        </is>
      </c>
      <c r="G211" t="inlineStr">
        <is>
          <t>False</t>
        </is>
      </c>
      <c r="H211" t="inlineStr">
        <is>
          <t>http://hl7.org/fhir/StructureDefinition/Patient</t>
        </is>
      </c>
      <c r="I211" t="inlineStr">
        <is>
          <t>The period during which this contact person or organization is valid to be contacted relating to this patient.</t>
        </is>
      </c>
      <c r="J211" t="inlineStr">
        <is>
          <t>http://hl7.org/fhir/StructureDefinition/Patient</t>
        </is>
      </c>
      <c r="K211" t="inlineStr"/>
      <c r="L211" t="inlineStr">
        <is>
          <t>needs_new_semantic</t>
        </is>
      </c>
    </row>
    <row r="212">
      <c r="A212" t="inlineStr">
        <is>
          <t>admin_core</t>
        </is>
      </c>
      <c r="B212" t="inlineStr">
        <is>
          <t>R5</t>
        </is>
      </c>
      <c r="C212" t="inlineStr">
        <is>
          <t>Patient</t>
        </is>
      </c>
      <c r="D212" t="inlineStr">
        <is>
          <t>Patient.contact.relationship</t>
        </is>
      </c>
      <c r="E212" t="inlineStr">
        <is>
          <t>CodeableConcept</t>
        </is>
      </c>
      <c r="F212" t="inlineStr">
        <is>
          <t>0..*</t>
        </is>
      </c>
      <c r="G212" t="inlineStr">
        <is>
          <t>False</t>
        </is>
      </c>
      <c r="H212" t="inlineStr">
        <is>
          <t>http://hl7.org/fhir/StructureDefinition/Patient</t>
        </is>
      </c>
      <c r="I212" t="inlineStr">
        <is>
          <t>The nature of the relationship between the patient and the contact person.</t>
        </is>
      </c>
      <c r="J212" t="inlineStr">
        <is>
          <t>http://hl7.org/fhir/StructureDefinition/Patient</t>
        </is>
      </c>
      <c r="K212" t="inlineStr"/>
      <c r="L212" t="inlineStr">
        <is>
          <t>needs_new_semantic</t>
        </is>
      </c>
    </row>
    <row r="213">
      <c r="A213" t="inlineStr">
        <is>
          <t>admin_core</t>
        </is>
      </c>
      <c r="B213" t="inlineStr">
        <is>
          <t>R5</t>
        </is>
      </c>
      <c r="C213" t="inlineStr">
        <is>
          <t>Patient</t>
        </is>
      </c>
      <c r="D213" t="inlineStr">
        <is>
          <t>Patient.contact.telecom</t>
        </is>
      </c>
      <c r="E213" t="inlineStr">
        <is>
          <t>ContactPoint</t>
        </is>
      </c>
      <c r="F213" t="inlineStr">
        <is>
          <t>0..*</t>
        </is>
      </c>
      <c r="G213" t="inlineStr">
        <is>
          <t>False</t>
        </is>
      </c>
      <c r="H213" t="inlineStr">
        <is>
          <t>http://hl7.org/fhir/StructureDefinition/Patient</t>
        </is>
      </c>
      <c r="I213" t="inlineStr">
        <is>
          <t>A contact detail for the person, e.g. a telephone number or an email address.</t>
        </is>
      </c>
      <c r="J213" t="inlineStr">
        <is>
          <t>http://hl7.org/fhir/StructureDefinition/Patient</t>
        </is>
      </c>
      <c r="K213" t="inlineStr"/>
      <c r="L213" t="inlineStr">
        <is>
          <t>needs_new_semantic</t>
        </is>
      </c>
    </row>
    <row r="214">
      <c r="A214" t="inlineStr">
        <is>
          <t>admin_core</t>
        </is>
      </c>
      <c r="B214" t="inlineStr">
        <is>
          <t>R5</t>
        </is>
      </c>
      <c r="C214" t="inlineStr">
        <is>
          <t>Patient</t>
        </is>
      </c>
      <c r="D214" t="inlineStr">
        <is>
          <t>Patient.contained</t>
        </is>
      </c>
      <c r="E214" t="inlineStr">
        <is>
          <t>Resource</t>
        </is>
      </c>
      <c r="F214" t="inlineStr">
        <is>
          <t>0..*</t>
        </is>
      </c>
      <c r="G214" t="inlineStr">
        <is>
          <t>False</t>
        </is>
      </c>
      <c r="H214" t="inlineStr">
        <is>
          <t>http://hl7.org/fhir/StructureDefinition/Patient</t>
        </is>
      </c>
      <c r="I214"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214" t="inlineStr">
        <is>
          <t>http://hl7.org/fhir/StructureDefinition/Patient</t>
        </is>
      </c>
      <c r="K214" t="inlineStr"/>
      <c r="L214" t="inlineStr">
        <is>
          <t>needs_new_semantic</t>
        </is>
      </c>
    </row>
    <row r="215">
      <c r="A215" t="inlineStr">
        <is>
          <t>admin_core</t>
        </is>
      </c>
      <c r="B215" t="inlineStr">
        <is>
          <t>R5</t>
        </is>
      </c>
      <c r="C215" t="inlineStr">
        <is>
          <t>Patient</t>
        </is>
      </c>
      <c r="D215" t="inlineStr">
        <is>
          <t>Patient.deceased[x]</t>
        </is>
      </c>
      <c r="E215" t="inlineStr">
        <is>
          <t>Choice: deceasedBoolean OR deceasedDateTime</t>
        </is>
      </c>
      <c r="F215" t="inlineStr">
        <is>
          <t>0..1</t>
        </is>
      </c>
      <c r="G215" t="inlineStr"/>
      <c r="H215" t="inlineStr">
        <is>
          <t>http://hl7.org/fhir/us/core/StructureDefinition/us-core-patient</t>
        </is>
      </c>
      <c r="I215" t="inlineStr">
        <is>
          <t>Indicates if the individual is deceased or not.</t>
        </is>
      </c>
      <c r="J215" t="inlineStr">
        <is>
          <t>http://hl7.org/fhir/StructureDefinition/Patient</t>
        </is>
      </c>
      <c r="K215" t="inlineStr">
        <is>
          <t>Patient.death_date</t>
        </is>
      </c>
      <c r="L215" t="inlineStr">
        <is>
          <t>mapped</t>
        </is>
      </c>
    </row>
    <row r="216">
      <c r="A216" t="inlineStr">
        <is>
          <t>admin_core</t>
        </is>
      </c>
      <c r="B216" t="inlineStr">
        <is>
          <t>R5</t>
        </is>
      </c>
      <c r="C216" t="inlineStr">
        <is>
          <t>Patient</t>
        </is>
      </c>
      <c r="D216" t="inlineStr">
        <is>
          <t>Patient.extension</t>
        </is>
      </c>
      <c r="E216" t="inlineStr">
        <is>
          <t>Extension</t>
        </is>
      </c>
      <c r="F216" t="inlineStr">
        <is>
          <t>0..*</t>
        </is>
      </c>
      <c r="G216" t="inlineStr">
        <is>
          <t>False</t>
        </is>
      </c>
      <c r="H216" t="inlineStr">
        <is>
          <t>http://hl7.org/fhir/StructureDefinition/Patient</t>
        </is>
      </c>
      <c r="I216"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16" t="inlineStr">
        <is>
          <t>http://hl7.org/fhir/StructureDefinition/Patient</t>
        </is>
      </c>
      <c r="K216" t="inlineStr"/>
      <c r="L216" t="inlineStr">
        <is>
          <t>needs_new_semantic</t>
        </is>
      </c>
    </row>
    <row r="217">
      <c r="A217" t="inlineStr">
        <is>
          <t>admin_core</t>
        </is>
      </c>
      <c r="B217" t="inlineStr">
        <is>
          <t>R5</t>
        </is>
      </c>
      <c r="C217" t="inlineStr">
        <is>
          <t>Patient</t>
        </is>
      </c>
      <c r="D217" t="inlineStr">
        <is>
          <t>Patient.gender</t>
        </is>
      </c>
      <c r="E217" t="inlineStr">
        <is>
          <t>code</t>
        </is>
      </c>
      <c r="F217" t="inlineStr">
        <is>
          <t>0..1</t>
        </is>
      </c>
      <c r="G217" t="inlineStr">
        <is>
          <t>False</t>
        </is>
      </c>
      <c r="H217" t="inlineStr">
        <is>
          <t>http://hl7.org/fhir/StructureDefinition/Patient</t>
        </is>
      </c>
      <c r="I217" t="inlineStr">
        <is>
          <t>Administrative Gender - the gender that the patient is considered to have for administration and record keeping purposes.</t>
        </is>
      </c>
      <c r="J217" t="inlineStr">
        <is>
          <t>http://hl7.org/fhir/StructureDefinition/Patient</t>
        </is>
      </c>
      <c r="K217" t="inlineStr"/>
      <c r="L217" t="inlineStr">
        <is>
          <t>needs_new_semantic</t>
        </is>
      </c>
    </row>
    <row r="218">
      <c r="A218" t="inlineStr">
        <is>
          <t>admin_core</t>
        </is>
      </c>
      <c r="B218" t="inlineStr">
        <is>
          <t>R5</t>
        </is>
      </c>
      <c r="C218" t="inlineStr">
        <is>
          <t>Patient</t>
        </is>
      </c>
      <c r="D218" t="inlineStr">
        <is>
          <t>Patient.generalPractitioner</t>
        </is>
      </c>
      <c r="E218" t="inlineStr">
        <is>
          <t>Reference</t>
        </is>
      </c>
      <c r="F218" t="inlineStr">
        <is>
          <t>0..*</t>
        </is>
      </c>
      <c r="G218" t="inlineStr">
        <is>
          <t>False</t>
        </is>
      </c>
      <c r="H218" t="inlineStr">
        <is>
          <t>http://hl7.org/fhir/StructureDefinition/Patient</t>
        </is>
      </c>
      <c r="I218" t="inlineStr">
        <is>
          <t>Patient's nominated care provider.</t>
        </is>
      </c>
      <c r="J218" t="inlineStr">
        <is>
          <t>http://hl7.org/fhir/StructureDefinition/Patient</t>
        </is>
      </c>
      <c r="K218" t="inlineStr"/>
      <c r="L218" t="inlineStr">
        <is>
          <t>needs_new_semantic</t>
        </is>
      </c>
    </row>
    <row r="219">
      <c r="A219" t="inlineStr">
        <is>
          <t>admin_core</t>
        </is>
      </c>
      <c r="B219" t="inlineStr">
        <is>
          <t>R5</t>
        </is>
      </c>
      <c r="C219" t="inlineStr">
        <is>
          <t>Patient</t>
        </is>
      </c>
      <c r="D219" t="inlineStr">
        <is>
          <t>Patient.id</t>
        </is>
      </c>
      <c r="E219" t="inlineStr">
        <is>
          <t>http://hl7.org/fhirpath/System.String</t>
        </is>
      </c>
      <c r="F219" t="inlineStr">
        <is>
          <t>0..1</t>
        </is>
      </c>
      <c r="G219" t="inlineStr">
        <is>
          <t>False</t>
        </is>
      </c>
      <c r="H219" t="inlineStr">
        <is>
          <t>http://hl7.org/fhir/StructureDefinition/Patient</t>
        </is>
      </c>
      <c r="I219" t="inlineStr">
        <is>
          <t>The logical id of the resource, as used in the URL for the resource. Once assigned, this value never changes.</t>
        </is>
      </c>
      <c r="J219" t="inlineStr">
        <is>
          <t>http://hl7.org/fhir/StructureDefinition/Patient</t>
        </is>
      </c>
      <c r="K219" t="inlineStr"/>
      <c r="L219" t="inlineStr">
        <is>
          <t>needs_new_semantic</t>
        </is>
      </c>
    </row>
    <row r="220">
      <c r="A220" t="inlineStr">
        <is>
          <t>admin_core</t>
        </is>
      </c>
      <c r="B220" t="inlineStr">
        <is>
          <t>R5</t>
        </is>
      </c>
      <c r="C220" t="inlineStr">
        <is>
          <t>Patient</t>
        </is>
      </c>
      <c r="D220" t="inlineStr">
        <is>
          <t>Patient.identifier</t>
        </is>
      </c>
      <c r="E220" t="inlineStr">
        <is>
          <t>Identifier</t>
        </is>
      </c>
      <c r="F220" t="inlineStr">
        <is>
          <t>0..*</t>
        </is>
      </c>
      <c r="G220" t="inlineStr">
        <is>
          <t>False</t>
        </is>
      </c>
      <c r="H220" t="inlineStr">
        <is>
          <t>http://hl7.org/fhir/StructureDefinition/Patient</t>
        </is>
      </c>
      <c r="I220" t="inlineStr">
        <is>
          <t>An identifier for this patient.</t>
        </is>
      </c>
      <c r="J220" t="inlineStr">
        <is>
          <t>http://hl7.org/fhir/StructureDefinition/Patient</t>
        </is>
      </c>
      <c r="K220" t="inlineStr"/>
      <c r="L220" t="inlineStr">
        <is>
          <t>needs_new_semantic</t>
        </is>
      </c>
    </row>
    <row r="221">
      <c r="A221" t="inlineStr">
        <is>
          <t>admin_core</t>
        </is>
      </c>
      <c r="B221" t="inlineStr">
        <is>
          <t>R5</t>
        </is>
      </c>
      <c r="C221" t="inlineStr">
        <is>
          <t>Patient</t>
        </is>
      </c>
      <c r="D221" t="inlineStr">
        <is>
          <t>Patient.implicitRules</t>
        </is>
      </c>
      <c r="E221" t="inlineStr">
        <is>
          <t>uri</t>
        </is>
      </c>
      <c r="F221" t="inlineStr">
        <is>
          <t>0..1</t>
        </is>
      </c>
      <c r="G221" t="inlineStr">
        <is>
          <t>False</t>
        </is>
      </c>
      <c r="H221" t="inlineStr">
        <is>
          <t>http://hl7.org/fhir/StructureDefinition/Patient</t>
        </is>
      </c>
      <c r="I221"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221" t="inlineStr">
        <is>
          <t>http://hl7.org/fhir/StructureDefinition/Patient</t>
        </is>
      </c>
      <c r="K221" t="inlineStr"/>
      <c r="L221" t="inlineStr">
        <is>
          <t>needs_new_semantic</t>
        </is>
      </c>
    </row>
    <row r="222">
      <c r="A222" t="inlineStr">
        <is>
          <t>admin_core</t>
        </is>
      </c>
      <c r="B222" t="inlineStr">
        <is>
          <t>R5</t>
        </is>
      </c>
      <c r="C222" t="inlineStr">
        <is>
          <t>Patient</t>
        </is>
      </c>
      <c r="D222" t="inlineStr">
        <is>
          <t>Patient.language</t>
        </is>
      </c>
      <c r="E222" t="inlineStr">
        <is>
          <t>code</t>
        </is>
      </c>
      <c r="F222" t="inlineStr">
        <is>
          <t>0..1</t>
        </is>
      </c>
      <c r="G222" t="inlineStr">
        <is>
          <t>False</t>
        </is>
      </c>
      <c r="H222" t="inlineStr">
        <is>
          <t>http://hl7.org/fhir/StructureDefinition/Patient</t>
        </is>
      </c>
      <c r="I222" t="inlineStr">
        <is>
          <t>The base language in which the resource is written.</t>
        </is>
      </c>
      <c r="J222" t="inlineStr">
        <is>
          <t>http://hl7.org/fhir/StructureDefinition/Patient</t>
        </is>
      </c>
      <c r="K222" t="inlineStr"/>
      <c r="L222" t="inlineStr">
        <is>
          <t>needs_new_semantic</t>
        </is>
      </c>
    </row>
    <row r="223">
      <c r="A223" t="inlineStr">
        <is>
          <t>admin_core</t>
        </is>
      </c>
      <c r="B223" t="inlineStr">
        <is>
          <t>R5</t>
        </is>
      </c>
      <c r="C223" t="inlineStr">
        <is>
          <t>Patient</t>
        </is>
      </c>
      <c r="D223" t="inlineStr">
        <is>
          <t>Patient.link</t>
        </is>
      </c>
      <c r="E223" t="inlineStr">
        <is>
          <t>BackboneElement</t>
        </is>
      </c>
      <c r="F223" t="inlineStr">
        <is>
          <t>0..*</t>
        </is>
      </c>
      <c r="G223" t="inlineStr">
        <is>
          <t>False</t>
        </is>
      </c>
      <c r="H223" t="inlineStr">
        <is>
          <t>http://hl7.org/fhir/StructureDefinition/Patient</t>
        </is>
      </c>
      <c r="I223" t="inlineStr">
        <is>
          <t>Link to a Patient or RelatedPerson resource that concerns the same actual individual.</t>
        </is>
      </c>
      <c r="J223" t="inlineStr">
        <is>
          <t>http://hl7.org/fhir/StructureDefinition/Patient</t>
        </is>
      </c>
      <c r="K223" t="inlineStr"/>
      <c r="L223" t="inlineStr">
        <is>
          <t>needs_new_semantic</t>
        </is>
      </c>
    </row>
    <row r="224">
      <c r="A224" t="inlineStr">
        <is>
          <t>admin_core</t>
        </is>
      </c>
      <c r="B224" t="inlineStr">
        <is>
          <t>R5</t>
        </is>
      </c>
      <c r="C224" t="inlineStr">
        <is>
          <t>Patient</t>
        </is>
      </c>
      <c r="D224" t="inlineStr">
        <is>
          <t>Patient.link.extension</t>
        </is>
      </c>
      <c r="E224" t="inlineStr">
        <is>
          <t>Extension</t>
        </is>
      </c>
      <c r="F224" t="inlineStr">
        <is>
          <t>0..*</t>
        </is>
      </c>
      <c r="G224" t="inlineStr"/>
      <c r="H224" t="inlineStr">
        <is>
          <t>http://hl7.org/fhir/StructureDefinition/Patient</t>
        </is>
      </c>
      <c r="I224"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24" t="inlineStr">
        <is>
          <t>http://hl7.org/fhir/StructureDefinition/Patient</t>
        </is>
      </c>
      <c r="K224" t="inlineStr"/>
      <c r="L224" t="inlineStr">
        <is>
          <t>needs_new_semantic</t>
        </is>
      </c>
    </row>
    <row r="225">
      <c r="A225" t="inlineStr">
        <is>
          <t>admin_core</t>
        </is>
      </c>
      <c r="B225" t="inlineStr">
        <is>
          <t>R5</t>
        </is>
      </c>
      <c r="C225" t="inlineStr">
        <is>
          <t>Patient</t>
        </is>
      </c>
      <c r="D225" t="inlineStr">
        <is>
          <t>Patient.link.id</t>
        </is>
      </c>
      <c r="E225" t="inlineStr">
        <is>
          <t>http://hl7.org/fhirpath/System.String</t>
        </is>
      </c>
      <c r="F225" t="inlineStr">
        <is>
          <t>0..1</t>
        </is>
      </c>
      <c r="G225" t="inlineStr"/>
      <c r="H225" t="inlineStr">
        <is>
          <t>http://hl7.org/fhir/StructureDefinition/Patient</t>
        </is>
      </c>
      <c r="I225" t="inlineStr">
        <is>
          <t>Unique id for the element within a resource (for internal references). This may be any string value that does not contain spaces.</t>
        </is>
      </c>
      <c r="J225" t="inlineStr">
        <is>
          <t>http://hl7.org/fhir/StructureDefinition/Patient</t>
        </is>
      </c>
      <c r="K225" t="inlineStr"/>
      <c r="L225" t="inlineStr">
        <is>
          <t>needs_new_semantic</t>
        </is>
      </c>
    </row>
    <row r="226">
      <c r="A226" t="inlineStr">
        <is>
          <t>admin_core</t>
        </is>
      </c>
      <c r="B226" t="inlineStr">
        <is>
          <t>R5</t>
        </is>
      </c>
      <c r="C226" t="inlineStr">
        <is>
          <t>Patient</t>
        </is>
      </c>
      <c r="D226" t="inlineStr">
        <is>
          <t>Patient.link.modifierExtension</t>
        </is>
      </c>
      <c r="E226" t="inlineStr">
        <is>
          <t>Extension</t>
        </is>
      </c>
      <c r="F226" t="inlineStr">
        <is>
          <t>0..*</t>
        </is>
      </c>
      <c r="G226" t="inlineStr"/>
      <c r="H226" t="inlineStr">
        <is>
          <t>http://hl7.org/fhir/StructureDefinition/Patient</t>
        </is>
      </c>
      <c r="I226"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26" t="inlineStr">
        <is>
          <t>http://hl7.org/fhir/StructureDefinition/Patient</t>
        </is>
      </c>
      <c r="K226" t="inlineStr"/>
      <c r="L226" t="inlineStr">
        <is>
          <t>needs_new_semantic</t>
        </is>
      </c>
    </row>
    <row r="227">
      <c r="A227" t="inlineStr">
        <is>
          <t>admin_core</t>
        </is>
      </c>
      <c r="B227" t="inlineStr">
        <is>
          <t>R5</t>
        </is>
      </c>
      <c r="C227" t="inlineStr">
        <is>
          <t>Patient</t>
        </is>
      </c>
      <c r="D227" t="inlineStr">
        <is>
          <t>Patient.link.other</t>
        </is>
      </c>
      <c r="E227" t="inlineStr">
        <is>
          <t>Reference</t>
        </is>
      </c>
      <c r="F227" t="inlineStr">
        <is>
          <t>1..1</t>
        </is>
      </c>
      <c r="G227" t="inlineStr">
        <is>
          <t>False</t>
        </is>
      </c>
      <c r="H227" t="inlineStr">
        <is>
          <t>http://hl7.org/fhir/StructureDefinition/Patient</t>
        </is>
      </c>
      <c r="I227" t="inlineStr">
        <is>
          <t>Link to a Patient or RelatedPerson resource that concerns the same actual individual.</t>
        </is>
      </c>
      <c r="J227" t="inlineStr">
        <is>
          <t>http://hl7.org/fhir/StructureDefinition/Patient</t>
        </is>
      </c>
      <c r="K227" t="inlineStr"/>
      <c r="L227" t="inlineStr">
        <is>
          <t>needs_new_semantic</t>
        </is>
      </c>
    </row>
    <row r="228">
      <c r="A228" t="inlineStr">
        <is>
          <t>admin_core</t>
        </is>
      </c>
      <c r="B228" t="inlineStr">
        <is>
          <t>R5</t>
        </is>
      </c>
      <c r="C228" t="inlineStr">
        <is>
          <t>Patient</t>
        </is>
      </c>
      <c r="D228" t="inlineStr">
        <is>
          <t>Patient.link.type</t>
        </is>
      </c>
      <c r="E228" t="inlineStr">
        <is>
          <t>code</t>
        </is>
      </c>
      <c r="F228" t="inlineStr">
        <is>
          <t>1..1</t>
        </is>
      </c>
      <c r="G228" t="inlineStr">
        <is>
          <t>False</t>
        </is>
      </c>
      <c r="H228" t="inlineStr">
        <is>
          <t>http://hl7.org/fhir/StructureDefinition/Patient</t>
        </is>
      </c>
      <c r="I228" t="inlineStr">
        <is>
          <t>The type of link between this patient resource and another patient resource.</t>
        </is>
      </c>
      <c r="J228" t="inlineStr">
        <is>
          <t>http://hl7.org/fhir/StructureDefinition/Patient</t>
        </is>
      </c>
      <c r="K228" t="inlineStr"/>
      <c r="L228" t="inlineStr">
        <is>
          <t>needs_new_semantic</t>
        </is>
      </c>
    </row>
    <row r="229">
      <c r="A229" t="inlineStr">
        <is>
          <t>admin_core</t>
        </is>
      </c>
      <c r="B229" t="inlineStr">
        <is>
          <t>R5</t>
        </is>
      </c>
      <c r="C229" t="inlineStr">
        <is>
          <t>Patient</t>
        </is>
      </c>
      <c r="D229" t="inlineStr">
        <is>
          <t>Patient.managingOrganization</t>
        </is>
      </c>
      <c r="E229" t="inlineStr">
        <is>
          <t>Reference</t>
        </is>
      </c>
      <c r="F229" t="inlineStr">
        <is>
          <t>0..1</t>
        </is>
      </c>
      <c r="G229" t="inlineStr">
        <is>
          <t>False</t>
        </is>
      </c>
      <c r="H229" t="inlineStr">
        <is>
          <t>http://hl7.org/fhir/StructureDefinition/Patient</t>
        </is>
      </c>
      <c r="I229" t="inlineStr">
        <is>
          <t>Organization that is the custodian of the patient record.</t>
        </is>
      </c>
      <c r="J229" t="inlineStr">
        <is>
          <t>http://hl7.org/fhir/StructureDefinition/Patient</t>
        </is>
      </c>
      <c r="K229" t="inlineStr"/>
      <c r="L229" t="inlineStr">
        <is>
          <t>needs_new_semantic</t>
        </is>
      </c>
    </row>
    <row r="230">
      <c r="A230" t="inlineStr">
        <is>
          <t>admin_core</t>
        </is>
      </c>
      <c r="B230" t="inlineStr">
        <is>
          <t>R5</t>
        </is>
      </c>
      <c r="C230" t="inlineStr">
        <is>
          <t>Patient</t>
        </is>
      </c>
      <c r="D230" t="inlineStr">
        <is>
          <t>Patient.maritalStatus</t>
        </is>
      </c>
      <c r="E230" t="inlineStr">
        <is>
          <t>CodeableConcept</t>
        </is>
      </c>
      <c r="F230" t="inlineStr">
        <is>
          <t>0..1</t>
        </is>
      </c>
      <c r="G230" t="inlineStr"/>
      <c r="H230" t="inlineStr">
        <is>
          <t>http://hl7.org/fhir/us/core/StructureDefinition/us-core-patient</t>
        </is>
      </c>
      <c r="I230" t="inlineStr">
        <is>
          <t>This field contains a patient's most recent marital (civil) status.</t>
        </is>
      </c>
      <c r="J230" t="inlineStr">
        <is>
          <t>http://hl7.org/fhir/StructureDefinition/Patient</t>
        </is>
      </c>
      <c r="K230" t="inlineStr">
        <is>
          <t>Patient.marital_status</t>
        </is>
      </c>
      <c r="L230" t="inlineStr">
        <is>
          <t>mapped</t>
        </is>
      </c>
    </row>
    <row r="231">
      <c r="A231" t="inlineStr">
        <is>
          <t>admin_core</t>
        </is>
      </c>
      <c r="B231" t="inlineStr">
        <is>
          <t>R5</t>
        </is>
      </c>
      <c r="C231" t="inlineStr">
        <is>
          <t>Patient</t>
        </is>
      </c>
      <c r="D231" t="inlineStr">
        <is>
          <t>Patient.meta</t>
        </is>
      </c>
      <c r="E231" t="inlineStr">
        <is>
          <t>Meta</t>
        </is>
      </c>
      <c r="F231" t="inlineStr">
        <is>
          <t>0..1</t>
        </is>
      </c>
      <c r="G231" t="inlineStr">
        <is>
          <t>False</t>
        </is>
      </c>
      <c r="H231" t="inlineStr">
        <is>
          <t>http://hl7.org/fhir/StructureDefinition/Patient</t>
        </is>
      </c>
      <c r="I231" t="inlineStr">
        <is>
          <t>The metadata about the resource. This is content that is maintained by the infrastructure. Changes to the content might not always be associated with version changes to the resource.</t>
        </is>
      </c>
      <c r="J231" t="inlineStr">
        <is>
          <t>http://hl7.org/fhir/StructureDefinition/Patient</t>
        </is>
      </c>
      <c r="K231" t="inlineStr"/>
      <c r="L231" t="inlineStr">
        <is>
          <t>needs_new_semantic</t>
        </is>
      </c>
    </row>
    <row r="232">
      <c r="A232" t="inlineStr">
        <is>
          <t>admin_core</t>
        </is>
      </c>
      <c r="B232" t="inlineStr">
        <is>
          <t>R5</t>
        </is>
      </c>
      <c r="C232" t="inlineStr">
        <is>
          <t>Patient</t>
        </is>
      </c>
      <c r="D232" t="inlineStr">
        <is>
          <t>Patient.modifierExtension</t>
        </is>
      </c>
      <c r="E232" t="inlineStr">
        <is>
          <t>Extension</t>
        </is>
      </c>
      <c r="F232" t="inlineStr">
        <is>
          <t>0..*</t>
        </is>
      </c>
      <c r="G232" t="inlineStr">
        <is>
          <t>False</t>
        </is>
      </c>
      <c r="H232" t="inlineStr">
        <is>
          <t>http://hl7.org/fhir/StructureDefinition/Patient</t>
        </is>
      </c>
      <c r="I232"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32" t="inlineStr">
        <is>
          <t>http://hl7.org/fhir/StructureDefinition/Patient</t>
        </is>
      </c>
      <c r="K232" t="inlineStr"/>
      <c r="L232" t="inlineStr">
        <is>
          <t>needs_new_semantic</t>
        </is>
      </c>
    </row>
    <row r="233">
      <c r="A233" t="inlineStr">
        <is>
          <t>admin_core</t>
        </is>
      </c>
      <c r="B233" t="inlineStr">
        <is>
          <t>R5</t>
        </is>
      </c>
      <c r="C233" t="inlineStr">
        <is>
          <t>Patient</t>
        </is>
      </c>
      <c r="D233" t="inlineStr">
        <is>
          <t>Patient.multipleBirth[x]</t>
        </is>
      </c>
      <c r="E233" t="inlineStr">
        <is>
          <t>boolean</t>
        </is>
      </c>
      <c r="F233" t="inlineStr">
        <is>
          <t>0..1</t>
        </is>
      </c>
      <c r="G233" t="inlineStr">
        <is>
          <t>False</t>
        </is>
      </c>
      <c r="H233" t="inlineStr">
        <is>
          <t>http://hl7.org/fhir/StructureDefinition/Patient</t>
        </is>
      </c>
      <c r="I233" t="inlineStr">
        <is>
          <t>Indicates whether the patient is part of a multiple (boolean) or indicates the actual birth order (integer).</t>
        </is>
      </c>
      <c r="J233" t="inlineStr">
        <is>
          <t>http://hl7.org/fhir/StructureDefinition/Patient</t>
        </is>
      </c>
      <c r="K233" t="inlineStr"/>
      <c r="L233" t="inlineStr">
        <is>
          <t>needs_new_semantic</t>
        </is>
      </c>
    </row>
    <row r="234">
      <c r="A234" t="inlineStr">
        <is>
          <t>admin_core</t>
        </is>
      </c>
      <c r="B234" t="inlineStr">
        <is>
          <t>R5</t>
        </is>
      </c>
      <c r="C234" t="inlineStr">
        <is>
          <t>Patient</t>
        </is>
      </c>
      <c r="D234" t="inlineStr">
        <is>
          <t>Patient.name</t>
        </is>
      </c>
      <c r="E234" t="inlineStr">
        <is>
          <t>HumanName</t>
        </is>
      </c>
      <c r="F234" t="inlineStr">
        <is>
          <t>0..*</t>
        </is>
      </c>
      <c r="G234" t="inlineStr">
        <is>
          <t>False</t>
        </is>
      </c>
      <c r="H234" t="inlineStr">
        <is>
          <t>http://hl7.org/fhir/StructureDefinition/Patient</t>
        </is>
      </c>
      <c r="I234" t="inlineStr">
        <is>
          <t>A name associated with the individual.</t>
        </is>
      </c>
      <c r="J234" t="inlineStr">
        <is>
          <t>http://hl7.org/fhir/StructureDefinition/Patient</t>
        </is>
      </c>
      <c r="K234" t="inlineStr"/>
      <c r="L234" t="inlineStr">
        <is>
          <t>needs_new_semantic</t>
        </is>
      </c>
    </row>
    <row r="235">
      <c r="A235" t="inlineStr">
        <is>
          <t>admin_core</t>
        </is>
      </c>
      <c r="B235" t="inlineStr">
        <is>
          <t>R5</t>
        </is>
      </c>
      <c r="C235" t="inlineStr">
        <is>
          <t>Patient</t>
        </is>
      </c>
      <c r="D235" t="inlineStr">
        <is>
          <t>Patient.photo</t>
        </is>
      </c>
      <c r="E235" t="inlineStr">
        <is>
          <t>Attachment</t>
        </is>
      </c>
      <c r="F235" t="inlineStr">
        <is>
          <t>0..*</t>
        </is>
      </c>
      <c r="G235" t="inlineStr">
        <is>
          <t>False</t>
        </is>
      </c>
      <c r="H235" t="inlineStr">
        <is>
          <t>http://hl7.org/fhir/StructureDefinition/Patient</t>
        </is>
      </c>
      <c r="I235" t="inlineStr">
        <is>
          <t>Image of the patient.</t>
        </is>
      </c>
      <c r="J235" t="inlineStr">
        <is>
          <t>http://hl7.org/fhir/StructureDefinition/Patient</t>
        </is>
      </c>
      <c r="K235" t="inlineStr"/>
      <c r="L235" t="inlineStr">
        <is>
          <t>needs_new_semantic</t>
        </is>
      </c>
    </row>
    <row r="236">
      <c r="A236" t="inlineStr">
        <is>
          <t>admin_core</t>
        </is>
      </c>
      <c r="B236" t="inlineStr">
        <is>
          <t>R5</t>
        </is>
      </c>
      <c r="C236" t="inlineStr">
        <is>
          <t>Patient</t>
        </is>
      </c>
      <c r="D236" t="inlineStr">
        <is>
          <t>Patient.telecom</t>
        </is>
      </c>
      <c r="E236" t="inlineStr">
        <is>
          <t>ContactPoint</t>
        </is>
      </c>
      <c r="F236" t="inlineStr">
        <is>
          <t>0..*</t>
        </is>
      </c>
      <c r="G236" t="inlineStr">
        <is>
          <t>False</t>
        </is>
      </c>
      <c r="H236" t="inlineStr">
        <is>
          <t>http://hl7.org/fhir/StructureDefinition/Patient</t>
        </is>
      </c>
      <c r="I236" t="inlineStr">
        <is>
          <t>A contact detail (e.g. a telephone number or an email address) by which the individual may be contacted.</t>
        </is>
      </c>
      <c r="J236" t="inlineStr">
        <is>
          <t>http://hl7.org/fhir/StructureDefinition/Patient</t>
        </is>
      </c>
      <c r="K236" t="inlineStr"/>
      <c r="L236" t="inlineStr">
        <is>
          <t>needs_new_semantic</t>
        </is>
      </c>
    </row>
    <row r="237">
      <c r="A237" t="inlineStr">
        <is>
          <t>admin_core</t>
        </is>
      </c>
      <c r="B237" t="inlineStr">
        <is>
          <t>R5</t>
        </is>
      </c>
      <c r="C237" t="inlineStr">
        <is>
          <t>Patient</t>
        </is>
      </c>
      <c r="D237" t="inlineStr">
        <is>
          <t>Patient.text</t>
        </is>
      </c>
      <c r="E237" t="inlineStr">
        <is>
          <t>Narrative</t>
        </is>
      </c>
      <c r="F237" t="inlineStr">
        <is>
          <t>0..1</t>
        </is>
      </c>
      <c r="G237" t="inlineStr">
        <is>
          <t>False</t>
        </is>
      </c>
      <c r="H237" t="inlineStr">
        <is>
          <t>http://hl7.org/fhir/StructureDefinition/Patient</t>
        </is>
      </c>
      <c r="I237"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237" t="inlineStr">
        <is>
          <t>http://hl7.org/fhir/StructureDefinition/Patient</t>
        </is>
      </c>
      <c r="K237" t="inlineStr"/>
      <c r="L237" t="inlineStr">
        <is>
          <t>needs_new_semantic</t>
        </is>
      </c>
    </row>
    <row r="238">
      <c r="A238" t="inlineStr">
        <is>
          <t>admin_core</t>
        </is>
      </c>
      <c r="B238" t="inlineStr">
        <is>
          <t>R5</t>
        </is>
      </c>
      <c r="C238" t="inlineStr">
        <is>
          <t>Practitioner</t>
        </is>
      </c>
      <c r="D238" t="inlineStr">
        <is>
          <t>Practitioner.active</t>
        </is>
      </c>
      <c r="E238" t="inlineStr">
        <is>
          <t>boolean</t>
        </is>
      </c>
      <c r="F238" t="inlineStr">
        <is>
          <t>0..1</t>
        </is>
      </c>
      <c r="G238" t="inlineStr">
        <is>
          <t>False</t>
        </is>
      </c>
      <c r="H238" t="inlineStr">
        <is>
          <t>http://hl7.org/fhir/StructureDefinition/Practitioner</t>
        </is>
      </c>
      <c r="I238" t="inlineStr">
        <is>
          <t>Whether this practitioner's record is in active use.</t>
        </is>
      </c>
      <c r="J238" t="inlineStr">
        <is>
          <t>http://hl7.org/fhir/StructureDefinition/Practitioner</t>
        </is>
      </c>
      <c r="K238" t="inlineStr"/>
      <c r="L238" t="inlineStr">
        <is>
          <t>needs_new_semantic</t>
        </is>
      </c>
    </row>
    <row r="239">
      <c r="A239" t="inlineStr">
        <is>
          <t>admin_core</t>
        </is>
      </c>
      <c r="B239" t="inlineStr">
        <is>
          <t>R5</t>
        </is>
      </c>
      <c r="C239" t="inlineStr">
        <is>
          <t>Practitioner</t>
        </is>
      </c>
      <c r="D239" t="inlineStr">
        <is>
          <t>Practitioner.address</t>
        </is>
      </c>
      <c r="E239" t="inlineStr">
        <is>
          <t>Address</t>
        </is>
      </c>
      <c r="F239" t="inlineStr">
        <is>
          <t>0..*</t>
        </is>
      </c>
      <c r="G239" t="inlineStr">
        <is>
          <t>False</t>
        </is>
      </c>
      <c r="H239" t="inlineStr">
        <is>
          <t>http://hl7.org/fhir/StructureDefinition/Practitioner</t>
        </is>
      </c>
      <c r="I239" t="inlineStr">
        <is>
          <t>Address(es) of the practitioner that are not role specific (typically home address). 
Work addresses are not typically entered in this property as they are usually role dependent.</t>
        </is>
      </c>
      <c r="J239" t="inlineStr">
        <is>
          <t>http://hl7.org/fhir/StructureDefinition/Practitioner</t>
        </is>
      </c>
      <c r="K239" t="inlineStr"/>
      <c r="L239" t="inlineStr">
        <is>
          <t>needs_new_semantic</t>
        </is>
      </c>
    </row>
    <row r="240">
      <c r="A240" t="inlineStr">
        <is>
          <t>admin_core</t>
        </is>
      </c>
      <c r="B240" t="inlineStr">
        <is>
          <t>R5</t>
        </is>
      </c>
      <c r="C240" t="inlineStr">
        <is>
          <t>Practitioner</t>
        </is>
      </c>
      <c r="D240" t="inlineStr">
        <is>
          <t>Practitioner.birthDate</t>
        </is>
      </c>
      <c r="E240" t="inlineStr">
        <is>
          <t>date</t>
        </is>
      </c>
      <c r="F240" t="inlineStr">
        <is>
          <t>0..1</t>
        </is>
      </c>
      <c r="G240" t="inlineStr">
        <is>
          <t>False</t>
        </is>
      </c>
      <c r="H240" t="inlineStr">
        <is>
          <t>http://hl7.org/fhir/StructureDefinition/Practitioner</t>
        </is>
      </c>
      <c r="I240" t="inlineStr">
        <is>
          <t>The date of birth for the practitioner.</t>
        </is>
      </c>
      <c r="J240" t="inlineStr">
        <is>
          <t>http://hl7.org/fhir/StructureDefinition/Practitioner</t>
        </is>
      </c>
      <c r="K240" t="inlineStr"/>
      <c r="L240" t="inlineStr">
        <is>
          <t>needs_new_semantic</t>
        </is>
      </c>
    </row>
    <row r="241">
      <c r="A241" t="inlineStr">
        <is>
          <t>admin_core</t>
        </is>
      </c>
      <c r="B241" t="inlineStr">
        <is>
          <t>R5</t>
        </is>
      </c>
      <c r="C241" t="inlineStr">
        <is>
          <t>Practitioner</t>
        </is>
      </c>
      <c r="D241" t="inlineStr">
        <is>
          <t>Practitioner.communication</t>
        </is>
      </c>
      <c r="E241" t="inlineStr">
        <is>
          <t>BackboneElement</t>
        </is>
      </c>
      <c r="F241" t="inlineStr">
        <is>
          <t>0..*</t>
        </is>
      </c>
      <c r="G241" t="inlineStr">
        <is>
          <t>False</t>
        </is>
      </c>
      <c r="H241" t="inlineStr">
        <is>
          <t>http://hl7.org/fhir/StructureDefinition/Practitioner</t>
        </is>
      </c>
      <c r="I241" t="inlineStr">
        <is>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is>
      </c>
      <c r="J241" t="inlineStr">
        <is>
          <t>http://hl7.org/fhir/StructureDefinition/Practitioner</t>
        </is>
      </c>
      <c r="K241" t="inlineStr"/>
      <c r="L241" t="inlineStr">
        <is>
          <t>needs_new_semantic</t>
        </is>
      </c>
    </row>
    <row r="242">
      <c r="A242" t="inlineStr">
        <is>
          <t>admin_core</t>
        </is>
      </c>
      <c r="B242" t="inlineStr">
        <is>
          <t>R5</t>
        </is>
      </c>
      <c r="C242" t="inlineStr">
        <is>
          <t>Practitioner</t>
        </is>
      </c>
      <c r="D242" t="inlineStr">
        <is>
          <t>Practitioner.communication.extension</t>
        </is>
      </c>
      <c r="E242" t="inlineStr">
        <is>
          <t>Extension</t>
        </is>
      </c>
      <c r="F242" t="inlineStr">
        <is>
          <t>0..*</t>
        </is>
      </c>
      <c r="G242" t="inlineStr"/>
      <c r="H242" t="inlineStr">
        <is>
          <t>http://hl7.org/fhir/StructureDefinition/Practitioner</t>
        </is>
      </c>
      <c r="I242"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42" t="inlineStr">
        <is>
          <t>http://hl7.org/fhir/StructureDefinition/Practitioner</t>
        </is>
      </c>
      <c r="K242" t="inlineStr"/>
      <c r="L242" t="inlineStr">
        <is>
          <t>needs_new_semantic</t>
        </is>
      </c>
    </row>
    <row r="243">
      <c r="A243" t="inlineStr">
        <is>
          <t>admin_core</t>
        </is>
      </c>
      <c r="B243" t="inlineStr">
        <is>
          <t>R5</t>
        </is>
      </c>
      <c r="C243" t="inlineStr">
        <is>
          <t>Practitioner</t>
        </is>
      </c>
      <c r="D243" t="inlineStr">
        <is>
          <t>Practitioner.communication.id</t>
        </is>
      </c>
      <c r="E243" t="inlineStr">
        <is>
          <t>http://hl7.org/fhirpath/System.String</t>
        </is>
      </c>
      <c r="F243" t="inlineStr">
        <is>
          <t>0..1</t>
        </is>
      </c>
      <c r="G243" t="inlineStr"/>
      <c r="H243" t="inlineStr">
        <is>
          <t>http://hl7.org/fhir/StructureDefinition/Practitioner</t>
        </is>
      </c>
      <c r="I243" t="inlineStr">
        <is>
          <t>Unique id for the element within a resource (for internal references). This may be any string value that does not contain spaces.</t>
        </is>
      </c>
      <c r="J243" t="inlineStr">
        <is>
          <t>http://hl7.org/fhir/StructureDefinition/Practitioner</t>
        </is>
      </c>
      <c r="K243" t="inlineStr"/>
      <c r="L243" t="inlineStr">
        <is>
          <t>needs_new_semantic</t>
        </is>
      </c>
    </row>
    <row r="244">
      <c r="A244" t="inlineStr">
        <is>
          <t>admin_core</t>
        </is>
      </c>
      <c r="B244" t="inlineStr">
        <is>
          <t>R5</t>
        </is>
      </c>
      <c r="C244" t="inlineStr">
        <is>
          <t>Practitioner</t>
        </is>
      </c>
      <c r="D244" t="inlineStr">
        <is>
          <t>Practitioner.communication.language</t>
        </is>
      </c>
      <c r="E244" t="inlineStr">
        <is>
          <t>CodeableConcept</t>
        </is>
      </c>
      <c r="F244" t="inlineStr">
        <is>
          <t>1..1</t>
        </is>
      </c>
      <c r="G244" t="inlineStr">
        <is>
          <t>False</t>
        </is>
      </c>
      <c r="H244" t="inlineStr">
        <is>
          <t>http://hl7.org/fhir/StructureDefinition/Practitioner</t>
        </is>
      </c>
      <c r="I244" t="inlineStr">
        <is>
          <t>The ISO-639-1 alpha 2 code in lower case for the language, optionally followed by a hyphen and the ISO-3166-1 alpha 2 code for the region in upper case; e.g. "en" for English, or "en-US" for American English versus "en-AU" for Australian English.</t>
        </is>
      </c>
      <c r="J244" t="inlineStr">
        <is>
          <t>http://hl7.org/fhir/StructureDefinition/Practitioner</t>
        </is>
      </c>
      <c r="K244" t="inlineStr"/>
      <c r="L244" t="inlineStr">
        <is>
          <t>needs_new_semantic</t>
        </is>
      </c>
    </row>
    <row r="245">
      <c r="A245" t="inlineStr">
        <is>
          <t>admin_core</t>
        </is>
      </c>
      <c r="B245" t="inlineStr">
        <is>
          <t>R5</t>
        </is>
      </c>
      <c r="C245" t="inlineStr">
        <is>
          <t>Practitioner</t>
        </is>
      </c>
      <c r="D245" t="inlineStr">
        <is>
          <t>Practitioner.communication.modifierExtension</t>
        </is>
      </c>
      <c r="E245" t="inlineStr">
        <is>
          <t>Extension</t>
        </is>
      </c>
      <c r="F245" t="inlineStr">
        <is>
          <t>0..*</t>
        </is>
      </c>
      <c r="G245" t="inlineStr"/>
      <c r="H245" t="inlineStr">
        <is>
          <t>http://hl7.org/fhir/StructureDefinition/Practitioner</t>
        </is>
      </c>
      <c r="I245"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45" t="inlineStr">
        <is>
          <t>http://hl7.org/fhir/StructureDefinition/Practitioner</t>
        </is>
      </c>
      <c r="K245" t="inlineStr"/>
      <c r="L245" t="inlineStr">
        <is>
          <t>needs_new_semantic</t>
        </is>
      </c>
    </row>
    <row r="246">
      <c r="A246" t="inlineStr">
        <is>
          <t>admin_core</t>
        </is>
      </c>
      <c r="B246" t="inlineStr">
        <is>
          <t>R5</t>
        </is>
      </c>
      <c r="C246" t="inlineStr">
        <is>
          <t>Practitioner</t>
        </is>
      </c>
      <c r="D246" t="inlineStr">
        <is>
          <t>Practitioner.communication.preferred</t>
        </is>
      </c>
      <c r="E246" t="inlineStr">
        <is>
          <t>boolean</t>
        </is>
      </c>
      <c r="F246" t="inlineStr">
        <is>
          <t>0..1</t>
        </is>
      </c>
      <c r="G246" t="inlineStr">
        <is>
          <t>False</t>
        </is>
      </c>
      <c r="H246" t="inlineStr">
        <is>
          <t>http://hl7.org/fhir/StructureDefinition/Practitioner</t>
        </is>
      </c>
      <c r="I246" t="inlineStr">
        <is>
          <t>Indicates whether or not the person prefers this language (over other languages he masters up a certain level).</t>
        </is>
      </c>
      <c r="J246" t="inlineStr">
        <is>
          <t>http://hl7.org/fhir/StructureDefinition/Practitioner</t>
        </is>
      </c>
      <c r="K246" t="inlineStr"/>
      <c r="L246" t="inlineStr">
        <is>
          <t>needs_new_semantic</t>
        </is>
      </c>
    </row>
    <row r="247">
      <c r="A247" t="inlineStr">
        <is>
          <t>admin_core</t>
        </is>
      </c>
      <c r="B247" t="inlineStr">
        <is>
          <t>R5</t>
        </is>
      </c>
      <c r="C247" t="inlineStr">
        <is>
          <t>Practitioner</t>
        </is>
      </c>
      <c r="D247" t="inlineStr">
        <is>
          <t>Practitioner.contained</t>
        </is>
      </c>
      <c r="E247" t="inlineStr">
        <is>
          <t>Resource</t>
        </is>
      </c>
      <c r="F247" t="inlineStr">
        <is>
          <t>0..*</t>
        </is>
      </c>
      <c r="G247" t="inlineStr">
        <is>
          <t>False</t>
        </is>
      </c>
      <c r="H247" t="inlineStr">
        <is>
          <t>http://hl7.org/fhir/StructureDefinition/Practitioner</t>
        </is>
      </c>
      <c r="I247"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247" t="inlineStr">
        <is>
          <t>http://hl7.org/fhir/StructureDefinition/Practitioner</t>
        </is>
      </c>
      <c r="K247" t="inlineStr"/>
      <c r="L247" t="inlineStr">
        <is>
          <t>needs_new_semantic</t>
        </is>
      </c>
    </row>
    <row r="248">
      <c r="A248" t="inlineStr">
        <is>
          <t>admin_core</t>
        </is>
      </c>
      <c r="B248" t="inlineStr">
        <is>
          <t>R5</t>
        </is>
      </c>
      <c r="C248" t="inlineStr">
        <is>
          <t>Practitioner</t>
        </is>
      </c>
      <c r="D248" t="inlineStr">
        <is>
          <t>Practitioner.deceased[x]</t>
        </is>
      </c>
      <c r="E248" t="inlineStr">
        <is>
          <t>boolean</t>
        </is>
      </c>
      <c r="F248" t="inlineStr">
        <is>
          <t>0..1</t>
        </is>
      </c>
      <c r="G248" t="inlineStr">
        <is>
          <t>False</t>
        </is>
      </c>
      <c r="H248" t="inlineStr">
        <is>
          <t>http://hl7.org/fhir/StructureDefinition/Practitioner</t>
        </is>
      </c>
      <c r="I248" t="inlineStr">
        <is>
          <t>Indicates if the practitioner is deceased or not.</t>
        </is>
      </c>
      <c r="J248" t="inlineStr">
        <is>
          <t>http://hl7.org/fhir/StructureDefinition/Practitioner</t>
        </is>
      </c>
      <c r="K248" t="inlineStr"/>
      <c r="L248" t="inlineStr">
        <is>
          <t>needs_new_semantic</t>
        </is>
      </c>
    </row>
    <row r="249">
      <c r="A249" t="inlineStr">
        <is>
          <t>admin_core</t>
        </is>
      </c>
      <c r="B249" t="inlineStr">
        <is>
          <t>R5</t>
        </is>
      </c>
      <c r="C249" t="inlineStr">
        <is>
          <t>Practitioner</t>
        </is>
      </c>
      <c r="D249" t="inlineStr">
        <is>
          <t>Practitioner.extension</t>
        </is>
      </c>
      <c r="E249" t="inlineStr">
        <is>
          <t>Extension</t>
        </is>
      </c>
      <c r="F249" t="inlineStr">
        <is>
          <t>0..*</t>
        </is>
      </c>
      <c r="G249" t="inlineStr">
        <is>
          <t>False</t>
        </is>
      </c>
      <c r="H249" t="inlineStr">
        <is>
          <t>http://hl7.org/fhir/StructureDefinition/Practitioner</t>
        </is>
      </c>
      <c r="I249"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49" t="inlineStr">
        <is>
          <t>http://hl7.org/fhir/StructureDefinition/Practitioner</t>
        </is>
      </c>
      <c r="K249" t="inlineStr"/>
      <c r="L249" t="inlineStr">
        <is>
          <t>needs_new_semantic</t>
        </is>
      </c>
    </row>
    <row r="250">
      <c r="A250" t="inlineStr">
        <is>
          <t>admin_core</t>
        </is>
      </c>
      <c r="B250" t="inlineStr">
        <is>
          <t>R5</t>
        </is>
      </c>
      <c r="C250" t="inlineStr">
        <is>
          <t>Practitioner</t>
        </is>
      </c>
      <c r="D250" t="inlineStr">
        <is>
          <t>Practitioner.gender</t>
        </is>
      </c>
      <c r="E250" t="inlineStr">
        <is>
          <t>code</t>
        </is>
      </c>
      <c r="F250" t="inlineStr">
        <is>
          <t>0..1</t>
        </is>
      </c>
      <c r="G250" t="inlineStr">
        <is>
          <t>False</t>
        </is>
      </c>
      <c r="H250" t="inlineStr">
        <is>
          <t>http://hl7.org/fhir/StructureDefinition/Practitioner</t>
        </is>
      </c>
      <c r="I250" t="inlineStr">
        <is>
          <t>Administrative Gender - the gender that the person is considered to have for administration and record keeping purposes.</t>
        </is>
      </c>
      <c r="J250" t="inlineStr">
        <is>
          <t>http://hl7.org/fhir/StructureDefinition/Practitioner</t>
        </is>
      </c>
      <c r="K250" t="inlineStr"/>
      <c r="L250" t="inlineStr">
        <is>
          <t>needs_new_semantic</t>
        </is>
      </c>
    </row>
    <row r="251">
      <c r="A251" t="inlineStr">
        <is>
          <t>admin_core</t>
        </is>
      </c>
      <c r="B251" t="inlineStr">
        <is>
          <t>R5</t>
        </is>
      </c>
      <c r="C251" t="inlineStr">
        <is>
          <t>Practitioner</t>
        </is>
      </c>
      <c r="D251" t="inlineStr">
        <is>
          <t>Practitioner.id</t>
        </is>
      </c>
      <c r="E251" t="inlineStr">
        <is>
          <t>http://hl7.org/fhirpath/System.String</t>
        </is>
      </c>
      <c r="F251" t="inlineStr">
        <is>
          <t>0..1</t>
        </is>
      </c>
      <c r="G251" t="inlineStr">
        <is>
          <t>False</t>
        </is>
      </c>
      <c r="H251" t="inlineStr">
        <is>
          <t>http://hl7.org/fhir/StructureDefinition/Practitioner</t>
        </is>
      </c>
      <c r="I251" t="inlineStr">
        <is>
          <t>The logical id of the resource, as used in the URL for the resource. Once assigned, this value never changes.</t>
        </is>
      </c>
      <c r="J251" t="inlineStr">
        <is>
          <t>http://hl7.org/fhir/StructureDefinition/Practitioner</t>
        </is>
      </c>
      <c r="K251" t="inlineStr"/>
      <c r="L251" t="inlineStr">
        <is>
          <t>needs_new_semantic</t>
        </is>
      </c>
    </row>
    <row r="252">
      <c r="A252" t="inlineStr">
        <is>
          <t>admin_core</t>
        </is>
      </c>
      <c r="B252" t="inlineStr">
        <is>
          <t>R5</t>
        </is>
      </c>
      <c r="C252" t="inlineStr">
        <is>
          <t>Practitioner</t>
        </is>
      </c>
      <c r="D252" t="inlineStr">
        <is>
          <t>Practitioner.identifier</t>
        </is>
      </c>
      <c r="E252" t="inlineStr">
        <is>
          <t>Identifier</t>
        </is>
      </c>
      <c r="F252" t="inlineStr">
        <is>
          <t>0..*</t>
        </is>
      </c>
      <c r="G252" t="inlineStr">
        <is>
          <t>False</t>
        </is>
      </c>
      <c r="H252" t="inlineStr">
        <is>
          <t>http://hl7.org/fhir/StructureDefinition/Practitioner</t>
        </is>
      </c>
      <c r="I252" t="inlineStr">
        <is>
          <t>An identifier that applies to this person in this role.</t>
        </is>
      </c>
      <c r="J252" t="inlineStr">
        <is>
          <t>http://hl7.org/fhir/StructureDefinition/Practitioner</t>
        </is>
      </c>
      <c r="K252" t="inlineStr"/>
      <c r="L252" t="inlineStr">
        <is>
          <t>needs_new_semantic</t>
        </is>
      </c>
    </row>
    <row r="253">
      <c r="A253" t="inlineStr">
        <is>
          <t>admin_core</t>
        </is>
      </c>
      <c r="B253" t="inlineStr">
        <is>
          <t>R5</t>
        </is>
      </c>
      <c r="C253" t="inlineStr">
        <is>
          <t>Practitioner</t>
        </is>
      </c>
      <c r="D253" t="inlineStr">
        <is>
          <t>Practitioner.implicitRules</t>
        </is>
      </c>
      <c r="E253" t="inlineStr">
        <is>
          <t>uri</t>
        </is>
      </c>
      <c r="F253" t="inlineStr">
        <is>
          <t>0..1</t>
        </is>
      </c>
      <c r="G253" t="inlineStr">
        <is>
          <t>False</t>
        </is>
      </c>
      <c r="H253" t="inlineStr">
        <is>
          <t>http://hl7.org/fhir/StructureDefinition/Practitioner</t>
        </is>
      </c>
      <c r="I253"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253" t="inlineStr">
        <is>
          <t>http://hl7.org/fhir/StructureDefinition/Practitioner</t>
        </is>
      </c>
      <c r="K253" t="inlineStr"/>
      <c r="L253" t="inlineStr">
        <is>
          <t>needs_new_semantic</t>
        </is>
      </c>
    </row>
    <row r="254">
      <c r="A254" t="inlineStr">
        <is>
          <t>admin_core</t>
        </is>
      </c>
      <c r="B254" t="inlineStr">
        <is>
          <t>R5</t>
        </is>
      </c>
      <c r="C254" t="inlineStr">
        <is>
          <t>Practitioner</t>
        </is>
      </c>
      <c r="D254" t="inlineStr">
        <is>
          <t>Practitioner.language</t>
        </is>
      </c>
      <c r="E254" t="inlineStr">
        <is>
          <t>code</t>
        </is>
      </c>
      <c r="F254" t="inlineStr">
        <is>
          <t>0..1</t>
        </is>
      </c>
      <c r="G254" t="inlineStr">
        <is>
          <t>False</t>
        </is>
      </c>
      <c r="H254" t="inlineStr">
        <is>
          <t>http://hl7.org/fhir/StructureDefinition/Practitioner</t>
        </is>
      </c>
      <c r="I254" t="inlineStr">
        <is>
          <t>The base language in which the resource is written.</t>
        </is>
      </c>
      <c r="J254" t="inlineStr">
        <is>
          <t>http://hl7.org/fhir/StructureDefinition/Practitioner</t>
        </is>
      </c>
      <c r="K254" t="inlineStr"/>
      <c r="L254" t="inlineStr">
        <is>
          <t>needs_new_semantic</t>
        </is>
      </c>
    </row>
    <row r="255">
      <c r="A255" t="inlineStr">
        <is>
          <t>admin_core</t>
        </is>
      </c>
      <c r="B255" t="inlineStr">
        <is>
          <t>R5</t>
        </is>
      </c>
      <c r="C255" t="inlineStr">
        <is>
          <t>Practitioner</t>
        </is>
      </c>
      <c r="D255" t="inlineStr">
        <is>
          <t>Practitioner.meta</t>
        </is>
      </c>
      <c r="E255" t="inlineStr">
        <is>
          <t>Meta</t>
        </is>
      </c>
      <c r="F255" t="inlineStr">
        <is>
          <t>0..1</t>
        </is>
      </c>
      <c r="G255" t="inlineStr">
        <is>
          <t>False</t>
        </is>
      </c>
      <c r="H255" t="inlineStr">
        <is>
          <t>http://hl7.org/fhir/StructureDefinition/Practitioner</t>
        </is>
      </c>
      <c r="I255" t="inlineStr">
        <is>
          <t>The metadata about the resource. This is content that is maintained by the infrastructure. Changes to the content might not always be associated with version changes to the resource.</t>
        </is>
      </c>
      <c r="J255" t="inlineStr">
        <is>
          <t>http://hl7.org/fhir/StructureDefinition/Practitioner</t>
        </is>
      </c>
      <c r="K255" t="inlineStr"/>
      <c r="L255" t="inlineStr">
        <is>
          <t>needs_new_semantic</t>
        </is>
      </c>
    </row>
    <row r="256">
      <c r="A256" t="inlineStr">
        <is>
          <t>admin_core</t>
        </is>
      </c>
      <c r="B256" t="inlineStr">
        <is>
          <t>R5</t>
        </is>
      </c>
      <c r="C256" t="inlineStr">
        <is>
          <t>Practitioner</t>
        </is>
      </c>
      <c r="D256" t="inlineStr">
        <is>
          <t>Practitioner.modifierExtension</t>
        </is>
      </c>
      <c r="E256" t="inlineStr">
        <is>
          <t>Extension</t>
        </is>
      </c>
      <c r="F256" t="inlineStr">
        <is>
          <t>0..*</t>
        </is>
      </c>
      <c r="G256" t="inlineStr">
        <is>
          <t>False</t>
        </is>
      </c>
      <c r="H256" t="inlineStr">
        <is>
          <t>http://hl7.org/fhir/StructureDefinition/Practitioner</t>
        </is>
      </c>
      <c r="I256"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56" t="inlineStr">
        <is>
          <t>http://hl7.org/fhir/StructureDefinition/Practitioner</t>
        </is>
      </c>
      <c r="K256" t="inlineStr"/>
      <c r="L256" t="inlineStr">
        <is>
          <t>needs_new_semantic</t>
        </is>
      </c>
    </row>
    <row r="257">
      <c r="A257" t="inlineStr">
        <is>
          <t>admin_core</t>
        </is>
      </c>
      <c r="B257" t="inlineStr">
        <is>
          <t>R5</t>
        </is>
      </c>
      <c r="C257" t="inlineStr">
        <is>
          <t>Practitioner</t>
        </is>
      </c>
      <c r="D257" t="inlineStr">
        <is>
          <t>Practitioner.name</t>
        </is>
      </c>
      <c r="E257" t="inlineStr">
        <is>
          <t>HumanName</t>
        </is>
      </c>
      <c r="F257" t="inlineStr">
        <is>
          <t>0..*</t>
        </is>
      </c>
      <c r="G257" t="inlineStr">
        <is>
          <t>False</t>
        </is>
      </c>
      <c r="H257" t="inlineStr">
        <is>
          <t>http://hl7.org/fhir/StructureDefinition/Practitioner</t>
        </is>
      </c>
      <c r="I257" t="inlineStr">
        <is>
          <t>The name(s) associated with the practitioner.</t>
        </is>
      </c>
      <c r="J257" t="inlineStr">
        <is>
          <t>http://hl7.org/fhir/StructureDefinition/Practitioner</t>
        </is>
      </c>
      <c r="K257" t="inlineStr"/>
      <c r="L257" t="inlineStr">
        <is>
          <t>needs_new_semantic</t>
        </is>
      </c>
    </row>
    <row r="258">
      <c r="A258" t="inlineStr">
        <is>
          <t>admin_core</t>
        </is>
      </c>
      <c r="B258" t="inlineStr">
        <is>
          <t>R5</t>
        </is>
      </c>
      <c r="C258" t="inlineStr">
        <is>
          <t>Practitioner</t>
        </is>
      </c>
      <c r="D258" t="inlineStr">
        <is>
          <t>Practitioner.photo</t>
        </is>
      </c>
      <c r="E258" t="inlineStr">
        <is>
          <t>Attachment</t>
        </is>
      </c>
      <c r="F258" t="inlineStr">
        <is>
          <t>0..*</t>
        </is>
      </c>
      <c r="G258" t="inlineStr">
        <is>
          <t>False</t>
        </is>
      </c>
      <c r="H258" t="inlineStr">
        <is>
          <t>http://hl7.org/fhir/StructureDefinition/Practitioner</t>
        </is>
      </c>
      <c r="I258" t="inlineStr">
        <is>
          <t>Image of the person.</t>
        </is>
      </c>
      <c r="J258" t="inlineStr">
        <is>
          <t>http://hl7.org/fhir/StructureDefinition/Practitioner</t>
        </is>
      </c>
      <c r="K258" t="inlineStr"/>
      <c r="L258" t="inlineStr">
        <is>
          <t>needs_new_semantic</t>
        </is>
      </c>
    </row>
    <row r="259">
      <c r="A259" t="inlineStr">
        <is>
          <t>admin_core</t>
        </is>
      </c>
      <c r="B259" t="inlineStr">
        <is>
          <t>R5</t>
        </is>
      </c>
      <c r="C259" t="inlineStr">
        <is>
          <t>Practitioner</t>
        </is>
      </c>
      <c r="D259" t="inlineStr">
        <is>
          <t>Practitioner.qualification</t>
        </is>
      </c>
      <c r="E259" t="inlineStr">
        <is>
          <t>BackboneElement</t>
        </is>
      </c>
      <c r="F259" t="inlineStr">
        <is>
          <t>0..*</t>
        </is>
      </c>
      <c r="G259" t="inlineStr">
        <is>
          <t>False</t>
        </is>
      </c>
      <c r="H259" t="inlineStr">
        <is>
          <t>http://hl7.org/fhir/StructureDefinition/Practitioner</t>
        </is>
      </c>
      <c r="I259" t="inlineStr">
        <is>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is>
      </c>
      <c r="J259" t="inlineStr">
        <is>
          <t>http://hl7.org/fhir/StructureDefinition/Practitioner</t>
        </is>
      </c>
      <c r="K259" t="inlineStr"/>
      <c r="L259" t="inlineStr">
        <is>
          <t>needs_new_semantic</t>
        </is>
      </c>
    </row>
    <row r="260">
      <c r="A260" t="inlineStr">
        <is>
          <t>admin_core</t>
        </is>
      </c>
      <c r="B260" t="inlineStr">
        <is>
          <t>R5</t>
        </is>
      </c>
      <c r="C260" t="inlineStr">
        <is>
          <t>Practitioner</t>
        </is>
      </c>
      <c r="D260" t="inlineStr">
        <is>
          <t>Practitioner.qualification.code</t>
        </is>
      </c>
      <c r="E260" t="inlineStr">
        <is>
          <t>CodeableConcept</t>
        </is>
      </c>
      <c r="F260" t="inlineStr">
        <is>
          <t>1..1</t>
        </is>
      </c>
      <c r="G260" t="inlineStr">
        <is>
          <t>False</t>
        </is>
      </c>
      <c r="H260" t="inlineStr">
        <is>
          <t>http://hl7.org/fhir/StructureDefinition/Practitioner</t>
        </is>
      </c>
      <c r="I260" t="inlineStr">
        <is>
          <t>Coded representation of the qualification.</t>
        </is>
      </c>
      <c r="J260" t="inlineStr">
        <is>
          <t>http://hl7.org/fhir/StructureDefinition/Practitioner</t>
        </is>
      </c>
      <c r="K260" t="inlineStr"/>
      <c r="L260" t="inlineStr">
        <is>
          <t>needs_new_semantic</t>
        </is>
      </c>
    </row>
    <row r="261">
      <c r="A261" t="inlineStr">
        <is>
          <t>admin_core</t>
        </is>
      </c>
      <c r="B261" t="inlineStr">
        <is>
          <t>R5</t>
        </is>
      </c>
      <c r="C261" t="inlineStr">
        <is>
          <t>Practitioner</t>
        </is>
      </c>
      <c r="D261" t="inlineStr">
        <is>
          <t>Practitioner.qualification.extension</t>
        </is>
      </c>
      <c r="E261" t="inlineStr">
        <is>
          <t>Extension</t>
        </is>
      </c>
      <c r="F261" t="inlineStr">
        <is>
          <t>0..*</t>
        </is>
      </c>
      <c r="G261" t="inlineStr"/>
      <c r="H261" t="inlineStr">
        <is>
          <t>http://hl7.org/fhir/StructureDefinition/Practitioner</t>
        </is>
      </c>
      <c r="I261"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61" t="inlineStr">
        <is>
          <t>http://hl7.org/fhir/StructureDefinition/Practitioner</t>
        </is>
      </c>
      <c r="K261" t="inlineStr"/>
      <c r="L261" t="inlineStr">
        <is>
          <t>needs_new_semantic</t>
        </is>
      </c>
    </row>
    <row r="262">
      <c r="A262" t="inlineStr">
        <is>
          <t>admin_core</t>
        </is>
      </c>
      <c r="B262" t="inlineStr">
        <is>
          <t>R5</t>
        </is>
      </c>
      <c r="C262" t="inlineStr">
        <is>
          <t>Practitioner</t>
        </is>
      </c>
      <c r="D262" t="inlineStr">
        <is>
          <t>Practitioner.qualification.id</t>
        </is>
      </c>
      <c r="E262" t="inlineStr">
        <is>
          <t>http://hl7.org/fhirpath/System.String</t>
        </is>
      </c>
      <c r="F262" t="inlineStr">
        <is>
          <t>0..1</t>
        </is>
      </c>
      <c r="G262" t="inlineStr"/>
      <c r="H262" t="inlineStr">
        <is>
          <t>http://hl7.org/fhir/StructureDefinition/Practitioner</t>
        </is>
      </c>
      <c r="I262" t="inlineStr">
        <is>
          <t>Unique id for the element within a resource (for internal references). This may be any string value that does not contain spaces.</t>
        </is>
      </c>
      <c r="J262" t="inlineStr">
        <is>
          <t>http://hl7.org/fhir/StructureDefinition/Practitioner</t>
        </is>
      </c>
      <c r="K262" t="inlineStr"/>
      <c r="L262" t="inlineStr">
        <is>
          <t>needs_new_semantic</t>
        </is>
      </c>
    </row>
    <row r="263">
      <c r="A263" t="inlineStr">
        <is>
          <t>admin_core</t>
        </is>
      </c>
      <c r="B263" t="inlineStr">
        <is>
          <t>R5</t>
        </is>
      </c>
      <c r="C263" t="inlineStr">
        <is>
          <t>Practitioner</t>
        </is>
      </c>
      <c r="D263" t="inlineStr">
        <is>
          <t>Practitioner.qualification.identifier</t>
        </is>
      </c>
      <c r="E263" t="inlineStr">
        <is>
          <t>Identifier</t>
        </is>
      </c>
      <c r="F263" t="inlineStr">
        <is>
          <t>0..*</t>
        </is>
      </c>
      <c r="G263" t="inlineStr">
        <is>
          <t>False</t>
        </is>
      </c>
      <c r="H263" t="inlineStr">
        <is>
          <t>http://hl7.org/fhir/StructureDefinition/Practitioner</t>
        </is>
      </c>
      <c r="I263" t="inlineStr">
        <is>
          <t>An identifier that applies to this person's qualification.</t>
        </is>
      </c>
      <c r="J263" t="inlineStr">
        <is>
          <t>http://hl7.org/fhir/StructureDefinition/Practitioner</t>
        </is>
      </c>
      <c r="K263" t="inlineStr"/>
      <c r="L263" t="inlineStr">
        <is>
          <t>needs_new_semantic</t>
        </is>
      </c>
    </row>
    <row r="264">
      <c r="A264" t="inlineStr">
        <is>
          <t>admin_core</t>
        </is>
      </c>
      <c r="B264" t="inlineStr">
        <is>
          <t>R5</t>
        </is>
      </c>
      <c r="C264" t="inlineStr">
        <is>
          <t>Practitioner</t>
        </is>
      </c>
      <c r="D264" t="inlineStr">
        <is>
          <t>Practitioner.qualification.issuer</t>
        </is>
      </c>
      <c r="E264" t="inlineStr">
        <is>
          <t>Reference</t>
        </is>
      </c>
      <c r="F264" t="inlineStr">
        <is>
          <t>0..1</t>
        </is>
      </c>
      <c r="G264" t="inlineStr">
        <is>
          <t>False</t>
        </is>
      </c>
      <c r="H264" t="inlineStr">
        <is>
          <t>http://hl7.org/fhir/StructureDefinition/Practitioner</t>
        </is>
      </c>
      <c r="I264" t="inlineStr">
        <is>
          <t>Organization that regulates and issues the qualification.</t>
        </is>
      </c>
      <c r="J264" t="inlineStr">
        <is>
          <t>http://hl7.org/fhir/StructureDefinition/Practitioner</t>
        </is>
      </c>
      <c r="K264" t="inlineStr"/>
      <c r="L264" t="inlineStr">
        <is>
          <t>needs_new_semantic</t>
        </is>
      </c>
    </row>
    <row r="265">
      <c r="A265" t="inlineStr">
        <is>
          <t>admin_core</t>
        </is>
      </c>
      <c r="B265" t="inlineStr">
        <is>
          <t>R5</t>
        </is>
      </c>
      <c r="C265" t="inlineStr">
        <is>
          <t>Practitioner</t>
        </is>
      </c>
      <c r="D265" t="inlineStr">
        <is>
          <t>Practitioner.qualification.modifierExtension</t>
        </is>
      </c>
      <c r="E265" t="inlineStr">
        <is>
          <t>Extension</t>
        </is>
      </c>
      <c r="F265" t="inlineStr">
        <is>
          <t>0..*</t>
        </is>
      </c>
      <c r="G265" t="inlineStr"/>
      <c r="H265" t="inlineStr">
        <is>
          <t>http://hl7.org/fhir/StructureDefinition/Practitioner</t>
        </is>
      </c>
      <c r="I265"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65" t="inlineStr">
        <is>
          <t>http://hl7.org/fhir/StructureDefinition/Practitioner</t>
        </is>
      </c>
      <c r="K265" t="inlineStr"/>
      <c r="L265" t="inlineStr">
        <is>
          <t>needs_new_semantic</t>
        </is>
      </c>
    </row>
    <row r="266">
      <c r="A266" t="inlineStr">
        <is>
          <t>admin_core</t>
        </is>
      </c>
      <c r="B266" t="inlineStr">
        <is>
          <t>R5</t>
        </is>
      </c>
      <c r="C266" t="inlineStr">
        <is>
          <t>Practitioner</t>
        </is>
      </c>
      <c r="D266" t="inlineStr">
        <is>
          <t>Practitioner.qualification.period</t>
        </is>
      </c>
      <c r="E266" t="inlineStr">
        <is>
          <t>Period</t>
        </is>
      </c>
      <c r="F266" t="inlineStr">
        <is>
          <t>0..1</t>
        </is>
      </c>
      <c r="G266" t="inlineStr">
        <is>
          <t>False</t>
        </is>
      </c>
      <c r="H266" t="inlineStr">
        <is>
          <t>http://hl7.org/fhir/StructureDefinition/Practitioner</t>
        </is>
      </c>
      <c r="I266" t="inlineStr">
        <is>
          <t>Period during which the qualification is valid.</t>
        </is>
      </c>
      <c r="J266" t="inlineStr">
        <is>
          <t>http://hl7.org/fhir/StructureDefinition/Practitioner</t>
        </is>
      </c>
      <c r="K266" t="inlineStr"/>
      <c r="L266" t="inlineStr">
        <is>
          <t>needs_new_semantic</t>
        </is>
      </c>
    </row>
    <row r="267">
      <c r="A267" t="inlineStr">
        <is>
          <t>admin_core</t>
        </is>
      </c>
      <c r="B267" t="inlineStr">
        <is>
          <t>R5</t>
        </is>
      </c>
      <c r="C267" t="inlineStr">
        <is>
          <t>Practitioner</t>
        </is>
      </c>
      <c r="D267" t="inlineStr">
        <is>
          <t>Practitioner.telecom</t>
        </is>
      </c>
      <c r="E267" t="inlineStr">
        <is>
          <t>ContactPoint</t>
        </is>
      </c>
      <c r="F267" t="inlineStr">
        <is>
          <t>0..*</t>
        </is>
      </c>
      <c r="G267" t="inlineStr">
        <is>
          <t>False</t>
        </is>
      </c>
      <c r="H267" t="inlineStr">
        <is>
          <t>http://hl7.org/fhir/StructureDefinition/Practitioner</t>
        </is>
      </c>
      <c r="I267" t="inlineStr">
        <is>
          <t>A contact detail for the practitioner, e.g. a telephone number or an email address.</t>
        </is>
      </c>
      <c r="J267" t="inlineStr">
        <is>
          <t>http://hl7.org/fhir/StructureDefinition/Practitioner</t>
        </is>
      </c>
      <c r="K267" t="inlineStr"/>
      <c r="L267" t="inlineStr">
        <is>
          <t>needs_new_semantic</t>
        </is>
      </c>
    </row>
    <row r="268">
      <c r="A268" t="inlineStr">
        <is>
          <t>admin_core</t>
        </is>
      </c>
      <c r="B268" t="inlineStr">
        <is>
          <t>R5</t>
        </is>
      </c>
      <c r="C268" t="inlineStr">
        <is>
          <t>Practitioner</t>
        </is>
      </c>
      <c r="D268" t="inlineStr">
        <is>
          <t>Practitioner.text</t>
        </is>
      </c>
      <c r="E268" t="inlineStr">
        <is>
          <t>Narrative</t>
        </is>
      </c>
      <c r="F268" t="inlineStr">
        <is>
          <t>0..1</t>
        </is>
      </c>
      <c r="G268" t="inlineStr">
        <is>
          <t>False</t>
        </is>
      </c>
      <c r="H268" t="inlineStr">
        <is>
          <t>http://hl7.org/fhir/StructureDefinition/Practitioner</t>
        </is>
      </c>
      <c r="I268"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268" t="inlineStr">
        <is>
          <t>http://hl7.org/fhir/StructureDefinition/Practitioner</t>
        </is>
      </c>
      <c r="K268" t="inlineStr"/>
      <c r="L268" t="inlineStr">
        <is>
          <t>needs_new_semantic</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2" customWidth="1" min="4" max="4"/>
    <col width="12" customWidth="1" min="5" max="5"/>
    <col width="17" customWidth="1" min="6" max="6"/>
    <col width="12" customWidth="1" min="7" max="7"/>
    <col width="12" customWidth="1" min="8" max="8"/>
    <col width="12" customWidth="1" min="9" max="9"/>
    <col width="17" customWidth="1" min="10" max="10"/>
    <col width="12" customWidth="1" min="11" max="11"/>
  </cols>
  <sheetData>
    <row r="1">
      <c r="A1" s="4" t="inlineStr">
        <is>
          <t>rule_id</t>
        </is>
      </c>
      <c r="B1" s="4" t="inlineStr">
        <is>
          <t>semantic_id</t>
        </is>
      </c>
      <c r="C1" s="4" t="inlineStr">
        <is>
          <t>standard_scope</t>
        </is>
      </c>
      <c r="D1" s="4" t="inlineStr">
        <is>
          <t>rule_name</t>
        </is>
      </c>
      <c r="E1" s="4" t="inlineStr">
        <is>
          <t>rule_type</t>
        </is>
      </c>
      <c r="F1" s="4" t="inlineStr">
        <is>
          <t>rule_expression</t>
        </is>
      </c>
      <c r="G1" s="4" t="inlineStr">
        <is>
          <t>severity</t>
        </is>
      </c>
      <c r="H1" s="4" t="inlineStr">
        <is>
          <t>active</t>
        </is>
      </c>
      <c r="I1" s="4" t="inlineStr">
        <is>
          <t>owner</t>
        </is>
      </c>
      <c r="J1" s="4" t="inlineStr">
        <is>
          <t>approval_status</t>
        </is>
      </c>
      <c r="K1" s="4" t="inlineStr">
        <is>
          <t>notes</t>
        </is>
      </c>
    </row>
    <row r="2">
      <c r="A2" t="inlineStr"/>
      <c r="B2" t="inlineStr">
        <is>
          <t>Patient.address</t>
        </is>
      </c>
      <c r="C2" t="inlineStr"/>
      <c r="D2" t="inlineStr"/>
      <c r="E2" t="inlineStr"/>
      <c r="F2" t="inlineStr"/>
      <c r="G2" t="inlineStr"/>
      <c r="H2" t="inlineStr">
        <is>
          <t>true</t>
        </is>
      </c>
      <c r="I2" t="inlineStr"/>
      <c r="J2" t="inlineStr"/>
      <c r="K2" t="inlineStr"/>
    </row>
    <row r="3">
      <c r="A3" t="inlineStr"/>
      <c r="B3" t="inlineStr">
        <is>
          <t>Patient.birth_date</t>
        </is>
      </c>
      <c r="C3" t="inlineStr"/>
      <c r="D3" t="inlineStr"/>
      <c r="E3" t="inlineStr"/>
      <c r="F3" t="inlineStr"/>
      <c r="G3" t="inlineStr"/>
      <c r="H3" t="inlineStr">
        <is>
          <t>true</t>
        </is>
      </c>
      <c r="I3" t="inlineStr"/>
      <c r="J3" t="inlineStr"/>
      <c r="K3" t="inlineStr"/>
    </row>
    <row r="4">
      <c r="A4" t="inlineStr"/>
      <c r="B4" t="inlineStr">
        <is>
          <t>Patient.death_date</t>
        </is>
      </c>
      <c r="C4" t="inlineStr"/>
      <c r="D4" t="inlineStr"/>
      <c r="E4" t="inlineStr"/>
      <c r="F4" t="inlineStr"/>
      <c r="G4" t="inlineStr"/>
      <c r="H4" t="inlineStr">
        <is>
          <t>true</t>
        </is>
      </c>
      <c r="I4" t="inlineStr"/>
      <c r="J4" t="inlineStr"/>
      <c r="K4" t="inlineStr"/>
    </row>
    <row r="5">
      <c r="A5" t="inlineStr"/>
      <c r="B5" t="inlineStr">
        <is>
          <t>Patient.language</t>
        </is>
      </c>
      <c r="C5" t="inlineStr"/>
      <c r="D5" t="inlineStr"/>
      <c r="E5" t="inlineStr"/>
      <c r="F5" t="inlineStr"/>
      <c r="G5" t="inlineStr"/>
      <c r="H5" t="inlineStr">
        <is>
          <t>true</t>
        </is>
      </c>
      <c r="I5" t="inlineStr"/>
      <c r="J5" t="inlineStr"/>
      <c r="K5" t="inlineStr"/>
    </row>
    <row r="6">
      <c r="A6" t="inlineStr"/>
      <c r="B6" t="inlineStr">
        <is>
          <t>Patient.marital_status</t>
        </is>
      </c>
      <c r="C6" t="inlineStr"/>
      <c r="D6" t="inlineStr"/>
      <c r="E6" t="inlineStr"/>
      <c r="F6" t="inlineStr"/>
      <c r="G6" t="inlineStr"/>
      <c r="H6" t="inlineStr">
        <is>
          <t>true</t>
        </is>
      </c>
      <c r="I6" t="inlineStr"/>
      <c r="J6" t="inlineStr"/>
      <c r="K6"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38" customWidth="1" min="4" max="4"/>
    <col width="38" customWidth="1" min="5" max="5"/>
    <col width="19" customWidth="1" min="6" max="6"/>
    <col width="18" customWidth="1" min="7" max="7"/>
    <col width="38" customWidth="1" min="8" max="8"/>
    <col width="38" customWidth="1" min="9" max="9"/>
    <col width="17" customWidth="1" min="10" max="10"/>
    <col width="38" customWidth="1" min="11" max="11"/>
  </cols>
  <sheetData>
    <row r="1">
      <c r="A1" s="4" t="inlineStr">
        <is>
          <t>semantic_id</t>
        </is>
      </c>
      <c r="B1" s="4" t="inlineStr">
        <is>
          <t>binding_role</t>
        </is>
      </c>
      <c r="C1" s="4" t="inlineStr">
        <is>
          <t>value_set_name</t>
        </is>
      </c>
      <c r="D1" s="4" t="inlineStr">
        <is>
          <t>value_set_url</t>
        </is>
      </c>
      <c r="E1" s="4" t="inlineStr">
        <is>
          <t>code_system_oid</t>
        </is>
      </c>
      <c r="F1" s="4" t="inlineStr">
        <is>
          <t>code_system_name</t>
        </is>
      </c>
      <c r="G1" s="4" t="inlineStr">
        <is>
          <t>binding_strength</t>
        </is>
      </c>
      <c r="H1" s="4" t="inlineStr">
        <is>
          <t>fhir_element</t>
        </is>
      </c>
      <c r="I1" s="4" t="inlineStr">
        <is>
          <t>authority_reference</t>
        </is>
      </c>
      <c r="J1" s="4" t="inlineStr">
        <is>
          <t>approval_status</t>
        </is>
      </c>
      <c r="K1" s="4" t="inlineStr">
        <is>
          <t>notes</t>
        </is>
      </c>
    </row>
    <row r="2">
      <c r="A2" t="inlineStr">
        <is>
          <t>Patient.race</t>
        </is>
      </c>
      <c r="B2" t="inlineStr">
        <is>
          <t>primary</t>
        </is>
      </c>
      <c r="C2" t="inlineStr">
        <is>
          <t>HL7 Race</t>
        </is>
      </c>
      <c r="D2" t="inlineStr">
        <is>
          <t>http://terminology.hl7.org/ValueSet/v3-Race</t>
        </is>
      </c>
      <c r="E2" t="inlineStr">
        <is>
          <t>urn:oid:2.16.840.1.113883.6.238</t>
        </is>
      </c>
      <c r="F2" t="inlineStr">
        <is>
          <t>CDCREC</t>
        </is>
      </c>
      <c r="G2" t="inlineStr">
        <is>
          <t>required</t>
        </is>
      </c>
      <c r="H2" t="inlineStr">
        <is>
          <t>Patient.extension(us-core-race).ombCategory</t>
        </is>
      </c>
      <c r="I2" t="inlineStr">
        <is>
          <t>docs/shie-standards-reference.md#cdcrec-race-codes-omb-rollup-examples</t>
        </is>
      </c>
      <c r="J2" t="inlineStr">
        <is>
          <t>Approved</t>
        </is>
      </c>
      <c r="K2" t="inlineStr">
        <is>
          <t>US Core us-core-race: ombCategory required; detailed optional.</t>
        </is>
      </c>
    </row>
    <row r="3">
      <c r="A3" t="inlineStr">
        <is>
          <t>Patient.ethnicity</t>
        </is>
      </c>
      <c r="B3" t="inlineStr">
        <is>
          <t>primary</t>
        </is>
      </c>
      <c r="C3" t="inlineStr">
        <is>
          <t>HL7 Ethnicity</t>
        </is>
      </c>
      <c r="D3" t="inlineStr">
        <is>
          <t>http://terminology.hl7.org/ValueSet/v3-Ethnicity</t>
        </is>
      </c>
      <c r="E3" t="inlineStr">
        <is>
          <t>urn:oid:2.16.840.1.113883.6.238</t>
        </is>
      </c>
      <c r="F3" t="inlineStr">
        <is>
          <t>CDCREC</t>
        </is>
      </c>
      <c r="G3" t="inlineStr">
        <is>
          <t>required</t>
        </is>
      </c>
      <c r="H3" t="inlineStr">
        <is>
          <t>Patient.extension(us-core-ethnicity).ombCategory</t>
        </is>
      </c>
      <c r="I3" t="inlineStr">
        <is>
          <t>docs/shie-standards-reference.md#cdcrec-ethnicity-codes-examples</t>
        </is>
      </c>
      <c r="J3" t="inlineStr">
        <is>
          <t>Approved</t>
        </is>
      </c>
      <c r="K3" t="inlineStr">
        <is>
          <t>US Core us-core-ethnicity extension.</t>
        </is>
      </c>
    </row>
    <row r="4">
      <c r="A4" t="inlineStr">
        <is>
          <t>Patient.language</t>
        </is>
      </c>
      <c r="B4" t="inlineStr">
        <is>
          <t>primary</t>
        </is>
      </c>
      <c r="C4" t="inlineStr">
        <is>
          <t>FHIR Languages (BCP 47)</t>
        </is>
      </c>
      <c r="D4" t="inlineStr">
        <is>
          <t>http://hl7.org/fhir/ValueSet/languages</t>
        </is>
      </c>
      <c r="E4" t="inlineStr">
        <is>
          <t>urn:ietf:bcp:47</t>
        </is>
      </c>
      <c r="F4" t="inlineStr">
        <is>
          <t>BCP 47</t>
        </is>
      </c>
      <c r="G4" t="inlineStr">
        <is>
          <t>required</t>
        </is>
      </c>
      <c r="H4" t="inlineStr">
        <is>
          <t>Patient.communication.language</t>
        </is>
      </c>
      <c r="I4" t="inlineStr">
        <is>
          <t>docs/shie-standards-reference.md</t>
        </is>
      </c>
      <c r="J4" t="inlineStr">
        <is>
          <t>Approved</t>
        </is>
      </c>
      <c r="K4" t="inlineStr">
        <is>
          <t>Primary FHIR binding; ISO 639 for stewardship crosswalk only.</t>
        </is>
      </c>
    </row>
    <row r="5">
      <c r="A5" t="inlineStr">
        <is>
          <t>Patient.gender_id</t>
        </is>
      </c>
      <c r="B5" t="inlineStr">
        <is>
          <t>primary</t>
        </is>
      </c>
      <c r="C5" t="inlineStr">
        <is>
          <t>HL7 Gender Identity (minimum set)</t>
        </is>
      </c>
      <c r="D5" t="inlineStr">
        <is>
          <t>http://terminology.hl7.org/ValueSet/gender-identity</t>
        </is>
      </c>
      <c r="E5" t="inlineStr">
        <is>
          <t>urn:oid:2.16.840.1.113883.6.96</t>
        </is>
      </c>
      <c r="F5" t="inlineStr">
        <is>
          <t>SNOMED CT</t>
        </is>
      </c>
      <c r="G5" t="inlineStr">
        <is>
          <t>extensible</t>
        </is>
      </c>
      <c r="H5" t="inlineStr">
        <is>
          <t>Observation.valueCodeableConcept (LOINC 76691-5)</t>
        </is>
      </c>
      <c r="I5" t="inlineStr">
        <is>
          <t>docs/shie-standards-reference.md#gender-identity-minimum-set</t>
        </is>
      </c>
      <c r="J5" t="inlineStr">
        <is>
          <t>Approved</t>
        </is>
      </c>
      <c r="K5" t="inlineStr">
        <is>
          <t>LOINC 76691-5 identifies the observation; answers bind HL7 gender-identity ValueSet (SNOMED + DAR/nullflavor). Not CMT SexID.</t>
        </is>
      </c>
    </row>
    <row r="6">
      <c r="A6" t="inlineStr">
        <is>
          <t>Patient.birth_sex</t>
        </is>
      </c>
      <c r="B6" t="inlineStr">
        <is>
          <t>primary</t>
        </is>
      </c>
      <c r="C6" t="inlineStr">
        <is>
          <t>US Core Birth Sex</t>
        </is>
      </c>
      <c r="D6" t="inlineStr">
        <is>
          <t>http://hl7.org/fhir/us/core/StructureDefinition/us-core-birthsex</t>
        </is>
      </c>
      <c r="E6" t="inlineStr">
        <is>
          <t>http://hl7.org/fhir/us/core/CodeSystem/birthsex</t>
        </is>
      </c>
      <c r="F6" t="inlineStr">
        <is>
          <t>US Core birth sex</t>
        </is>
      </c>
      <c r="G6" t="inlineStr">
        <is>
          <t>required</t>
        </is>
      </c>
      <c r="H6" t="inlineStr">
        <is>
          <t>Patient.extension(us-core-birthsex)</t>
        </is>
      </c>
      <c r="I6" t="inlineStr">
        <is>
          <t>docs/shie-standards-reference.md</t>
        </is>
      </c>
      <c r="J6" t="inlineStr">
        <is>
          <t>Approved</t>
        </is>
      </c>
      <c r="K6" t="inlineStr">
        <is>
          <t>Administrative sex — not CDCREC; distinct from gender identity.</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K942"/>
  <sheetViews>
    <sheetView workbookViewId="0">
      <pane ySplit="1" topLeftCell="A2" activePane="bottomLeft" state="frozen"/>
      <selection pane="bottomLeft" activeCell="A1" sqref="A1"/>
    </sheetView>
  </sheetViews>
  <sheetFormatPr baseColWidth="8" defaultRowHeight="15"/>
  <cols>
    <col width="19" customWidth="1" min="1" max="1"/>
    <col width="38" customWidth="1" min="2" max="2"/>
    <col width="17" customWidth="1" min="3" max="3"/>
    <col width="38" customWidth="1" min="4" max="4"/>
    <col width="16" customWidth="1" min="5" max="5"/>
    <col width="14" customWidth="1" min="6" max="6"/>
    <col width="18" customWidth="1" min="7" max="7"/>
    <col width="12" customWidth="1" min="8" max="8"/>
    <col width="12" customWidth="1" min="9" max="9"/>
    <col width="38" customWidth="1" min="10" max="10"/>
    <col width="18" customWidth="1" min="11" max="11"/>
  </cols>
  <sheetData>
    <row r="1">
      <c r="A1" s="4" t="inlineStr">
        <is>
          <t>semantic_id</t>
        </is>
      </c>
      <c r="B1" s="4" t="inlineStr">
        <is>
          <t>code_system_oid</t>
        </is>
      </c>
      <c r="C1" s="4" t="inlineStr">
        <is>
          <t>code</t>
        </is>
      </c>
      <c r="D1" s="4" t="inlineStr">
        <is>
          <t>display</t>
        </is>
      </c>
      <c r="E1" s="4" t="inlineStr">
        <is>
          <t>member_type</t>
        </is>
      </c>
      <c r="F1" s="4" t="inlineStr">
        <is>
          <t>binding_role</t>
        </is>
      </c>
      <c r="G1" s="4" t="inlineStr">
        <is>
          <t>binding_strength</t>
        </is>
      </c>
      <c r="H1" s="4" t="inlineStr">
        <is>
          <t>active</t>
        </is>
      </c>
      <c r="I1" s="4" t="inlineStr">
        <is>
          <t>sort_order</t>
        </is>
      </c>
      <c r="J1" s="4" t="inlineStr">
        <is>
          <t>notes</t>
        </is>
      </c>
      <c r="K1" s="4" t="inlineStr">
        <is>
          <t>pbi_default_show</t>
        </is>
      </c>
    </row>
    <row r="2">
      <c r="A2" t="inlineStr">
        <is>
          <t>Patient.language</t>
        </is>
      </c>
      <c r="B2" t="inlineStr">
        <is>
          <t>urn:ietf:bcp:47</t>
        </is>
      </c>
      <c r="C2" t="inlineStr">
        <is>
          <t>en</t>
        </is>
      </c>
      <c r="D2" t="inlineStr">
        <is>
          <t>English</t>
        </is>
      </c>
      <c r="E2" t="inlineStr">
        <is>
          <t>language_tag</t>
        </is>
      </c>
      <c r="F2" t="inlineStr">
        <is>
          <t>primary</t>
        </is>
      </c>
      <c r="G2" t="inlineStr">
        <is>
          <t>example</t>
        </is>
      </c>
      <c r="H2" t="inlineStr">
        <is>
          <t>true</t>
        </is>
      </c>
      <c r="I2" t="inlineStr">
        <is>
          <t>1</t>
        </is>
      </c>
      <c r="J2" t="inlineStr">
        <is>
          <t>Pilot examples; full list from IANA/BCP 47 — not duplicated locally</t>
        </is>
      </c>
      <c r="K2" t="inlineStr">
        <is>
          <t>true</t>
        </is>
      </c>
    </row>
    <row r="3">
      <c r="A3" t="inlineStr">
        <is>
          <t>Patient.language</t>
        </is>
      </c>
      <c r="B3" t="inlineStr">
        <is>
          <t>urn:ietf:bcp:47</t>
        </is>
      </c>
      <c r="C3" t="inlineStr">
        <is>
          <t>es</t>
        </is>
      </c>
      <c r="D3" t="inlineStr">
        <is>
          <t>Spanish</t>
        </is>
      </c>
      <c r="E3" t="inlineStr">
        <is>
          <t>language_tag</t>
        </is>
      </c>
      <c r="F3" t="inlineStr">
        <is>
          <t>primary</t>
        </is>
      </c>
      <c r="G3" t="inlineStr">
        <is>
          <t>example</t>
        </is>
      </c>
      <c r="H3" t="inlineStr">
        <is>
          <t>true</t>
        </is>
      </c>
      <c r="I3" t="inlineStr">
        <is>
          <t>2</t>
        </is>
      </c>
      <c r="J3" t="inlineStr">
        <is>
          <t>Pilot examples; full list from IANA/BCP 47 — not duplicated locally</t>
        </is>
      </c>
      <c r="K3" t="inlineStr">
        <is>
          <t>true</t>
        </is>
      </c>
    </row>
    <row r="4">
      <c r="A4" t="inlineStr">
        <is>
          <t>Patient.language</t>
        </is>
      </c>
      <c r="B4" t="inlineStr">
        <is>
          <t>urn:ietf:bcp:47</t>
        </is>
      </c>
      <c r="C4" t="inlineStr">
        <is>
          <t>zh</t>
        </is>
      </c>
      <c r="D4" t="inlineStr">
        <is>
          <t>Chinese</t>
        </is>
      </c>
      <c r="E4" t="inlineStr">
        <is>
          <t>language_tag</t>
        </is>
      </c>
      <c r="F4" t="inlineStr">
        <is>
          <t>primary</t>
        </is>
      </c>
      <c r="G4" t="inlineStr">
        <is>
          <t>example</t>
        </is>
      </c>
      <c r="H4" t="inlineStr">
        <is>
          <t>true</t>
        </is>
      </c>
      <c r="I4" t="inlineStr">
        <is>
          <t>3</t>
        </is>
      </c>
      <c r="J4" t="inlineStr">
        <is>
          <t>Pilot examples; full list from IANA/BCP 47 — not duplicated locally</t>
        </is>
      </c>
      <c r="K4" t="inlineStr">
        <is>
          <t>true</t>
        </is>
      </c>
    </row>
    <row r="5">
      <c r="A5" t="inlineStr">
        <is>
          <t>Patient.language</t>
        </is>
      </c>
      <c r="B5" t="inlineStr">
        <is>
          <t>urn:ietf:bcp:47</t>
        </is>
      </c>
      <c r="C5" t="inlineStr">
        <is>
          <t>vi</t>
        </is>
      </c>
      <c r="D5" t="inlineStr">
        <is>
          <t>Vietnamese</t>
        </is>
      </c>
      <c r="E5" t="inlineStr">
        <is>
          <t>language_tag</t>
        </is>
      </c>
      <c r="F5" t="inlineStr">
        <is>
          <t>primary</t>
        </is>
      </c>
      <c r="G5" t="inlineStr">
        <is>
          <t>example</t>
        </is>
      </c>
      <c r="H5" t="inlineStr">
        <is>
          <t>true</t>
        </is>
      </c>
      <c r="I5" t="inlineStr">
        <is>
          <t>4</t>
        </is>
      </c>
      <c r="J5" t="inlineStr">
        <is>
          <t>Pilot examples; full list from IANA/BCP 47 — not duplicated locally</t>
        </is>
      </c>
      <c r="K5" t="inlineStr">
        <is>
          <t>true</t>
        </is>
      </c>
    </row>
    <row r="6">
      <c r="A6" t="inlineStr">
        <is>
          <t>Patient.language</t>
        </is>
      </c>
      <c r="B6" t="inlineStr">
        <is>
          <t>urn:ietf:bcp:47</t>
        </is>
      </c>
      <c r="C6" t="inlineStr">
        <is>
          <t>ar</t>
        </is>
      </c>
      <c r="D6" t="inlineStr">
        <is>
          <t>Arabic</t>
        </is>
      </c>
      <c r="E6" t="inlineStr">
        <is>
          <t>language_tag</t>
        </is>
      </c>
      <c r="F6" t="inlineStr">
        <is>
          <t>primary</t>
        </is>
      </c>
      <c r="G6" t="inlineStr">
        <is>
          <t>example</t>
        </is>
      </c>
      <c r="H6" t="inlineStr">
        <is>
          <t>true</t>
        </is>
      </c>
      <c r="I6" t="inlineStr">
        <is>
          <t>5</t>
        </is>
      </c>
      <c r="J6" t="inlineStr">
        <is>
          <t>Pilot examples; full list from IANA/BCP 47 — not duplicated locally</t>
        </is>
      </c>
      <c r="K6" t="inlineStr">
        <is>
          <t>true</t>
        </is>
      </c>
    </row>
    <row r="7">
      <c r="A7" t="inlineStr">
        <is>
          <t>Patient.language</t>
        </is>
      </c>
      <c r="B7" t="inlineStr">
        <is>
          <t>urn:ietf:bcp:47</t>
        </is>
      </c>
      <c r="C7" t="inlineStr">
        <is>
          <t>und</t>
        </is>
      </c>
      <c r="D7" t="inlineStr">
        <is>
          <t>Undetermined</t>
        </is>
      </c>
      <c r="E7" t="inlineStr">
        <is>
          <t>exclude</t>
        </is>
      </c>
      <c r="F7" t="inlineStr">
        <is>
          <t>primary</t>
        </is>
      </c>
      <c r="G7" t="inlineStr">
        <is>
          <t>example</t>
        </is>
      </c>
      <c r="H7" t="inlineStr">
        <is>
          <t>true</t>
        </is>
      </c>
      <c r="I7" t="inlineStr">
        <is>
          <t>90</t>
        </is>
      </c>
      <c r="J7" t="inlineStr">
        <is>
          <t>Excluded from county aggregates per survivorship</t>
        </is>
      </c>
      <c r="K7" t="inlineStr">
        <is>
          <t>true</t>
        </is>
      </c>
    </row>
    <row r="8">
      <c r="A8" t="inlineStr">
        <is>
          <t>Patient.birth_sex</t>
        </is>
      </c>
      <c r="B8" t="inlineStr">
        <is>
          <t>http://hl7.org/fhir/us/core/CodeSystem/birthsex</t>
        </is>
      </c>
      <c r="C8" t="inlineStr">
        <is>
          <t>M</t>
        </is>
      </c>
      <c r="D8" t="inlineStr">
        <is>
          <t>Male</t>
        </is>
      </c>
      <c r="E8" t="inlineStr">
        <is>
          <t>administrative</t>
        </is>
      </c>
      <c r="F8" t="inlineStr">
        <is>
          <t>primary</t>
        </is>
      </c>
      <c r="G8" t="inlineStr">
        <is>
          <t>required</t>
        </is>
      </c>
      <c r="H8" t="inlineStr">
        <is>
          <t>true</t>
        </is>
      </c>
      <c r="I8" t="inlineStr">
        <is>
          <t>1</t>
        </is>
      </c>
      <c r="J8" t="inlineStr">
        <is>
          <t>Not interchangeable with Patient.gender_id</t>
        </is>
      </c>
      <c r="K8" t="inlineStr">
        <is>
          <t>true</t>
        </is>
      </c>
    </row>
    <row r="9">
      <c r="A9" t="inlineStr">
        <is>
          <t>Patient.birth_sex</t>
        </is>
      </c>
      <c r="B9" t="inlineStr">
        <is>
          <t>http://hl7.org/fhir/us/core/CodeSystem/birthsex</t>
        </is>
      </c>
      <c r="C9" t="inlineStr">
        <is>
          <t>F</t>
        </is>
      </c>
      <c r="D9" t="inlineStr">
        <is>
          <t>Female</t>
        </is>
      </c>
      <c r="E9" t="inlineStr">
        <is>
          <t>administrative</t>
        </is>
      </c>
      <c r="F9" t="inlineStr">
        <is>
          <t>primary</t>
        </is>
      </c>
      <c r="G9" t="inlineStr">
        <is>
          <t>required</t>
        </is>
      </c>
      <c r="H9" t="inlineStr">
        <is>
          <t>true</t>
        </is>
      </c>
      <c r="I9" t="inlineStr">
        <is>
          <t>2</t>
        </is>
      </c>
      <c r="J9" t="inlineStr">
        <is>
          <t>Not interchangeable with Patient.gender_id</t>
        </is>
      </c>
      <c r="K9" t="inlineStr">
        <is>
          <t>true</t>
        </is>
      </c>
    </row>
    <row r="10">
      <c r="A10" t="inlineStr">
        <is>
          <t>Patient.birth_sex</t>
        </is>
      </c>
      <c r="B10" t="inlineStr">
        <is>
          <t>http://hl7.org/fhir/us/core/CodeSystem/birthsex</t>
        </is>
      </c>
      <c r="C10" t="inlineStr">
        <is>
          <t>UNK</t>
        </is>
      </c>
      <c r="D10" t="inlineStr">
        <is>
          <t>Unknown</t>
        </is>
      </c>
      <c r="E10" t="inlineStr">
        <is>
          <t>administrative</t>
        </is>
      </c>
      <c r="F10" t="inlineStr">
        <is>
          <t>primary</t>
        </is>
      </c>
      <c r="G10" t="inlineStr">
        <is>
          <t>required</t>
        </is>
      </c>
      <c r="H10" t="inlineStr">
        <is>
          <t>true</t>
        </is>
      </c>
      <c r="I10" t="inlineStr">
        <is>
          <t>3</t>
        </is>
      </c>
      <c r="J10" t="inlineStr">
        <is>
          <t>Not interchangeable with Patient.gender_id</t>
        </is>
      </c>
      <c r="K10" t="inlineStr">
        <is>
          <t>true</t>
        </is>
      </c>
    </row>
    <row r="11">
      <c r="A11" t="inlineStr">
        <is>
          <t>Patient.race</t>
        </is>
      </c>
      <c r="B11" t="inlineStr">
        <is>
          <t>urn:oid:2.16.840.1.113883.5.1008</t>
        </is>
      </c>
      <c r="C11" t="inlineStr">
        <is>
          <t>UNK</t>
        </is>
      </c>
      <c r="D11" t="inlineStr">
        <is>
          <t>Unknown</t>
        </is>
      </c>
      <c r="E11" t="inlineStr">
        <is>
          <t>nullflavor</t>
        </is>
      </c>
      <c r="F11" t="inlineStr">
        <is>
          <t>nullflavor</t>
        </is>
      </c>
      <c r="G11" t="inlineStr">
        <is>
          <t>example</t>
        </is>
      </c>
      <c r="H11" t="inlineStr">
        <is>
          <t>true</t>
        </is>
      </c>
      <c r="I11" t="inlineStr">
        <is>
          <t>10</t>
        </is>
      </c>
      <c r="J11" t="inlineStr">
        <is>
          <t>Do not collapse with valid race codes in reporting</t>
        </is>
      </c>
      <c r="K11" t="inlineStr">
        <is>
          <t>true</t>
        </is>
      </c>
    </row>
    <row r="12">
      <c r="A12" t="inlineStr">
        <is>
          <t>Patient.race</t>
        </is>
      </c>
      <c r="B12" t="inlineStr">
        <is>
          <t>urn:oid:2.16.840.1.113883.5.1008</t>
        </is>
      </c>
      <c r="C12" t="inlineStr">
        <is>
          <t>ASKU</t>
        </is>
      </c>
      <c r="D12" t="inlineStr">
        <is>
          <t>Asked but not known</t>
        </is>
      </c>
      <c r="E12" t="inlineStr">
        <is>
          <t>nullflavor</t>
        </is>
      </c>
      <c r="F12" t="inlineStr">
        <is>
          <t>nullflavor</t>
        </is>
      </c>
      <c r="G12" t="inlineStr">
        <is>
          <t>example</t>
        </is>
      </c>
      <c r="H12" t="inlineStr">
        <is>
          <t>true</t>
        </is>
      </c>
      <c r="I12" t="inlineStr">
        <is>
          <t>11</t>
        </is>
      </c>
      <c r="J12" t="inlineStr">
        <is>
          <t>Do not collapse with valid race codes in reporting</t>
        </is>
      </c>
      <c r="K12" t="inlineStr">
        <is>
          <t>true</t>
        </is>
      </c>
    </row>
    <row r="13">
      <c r="A13" t="inlineStr">
        <is>
          <t>Patient.race</t>
        </is>
      </c>
      <c r="B13" t="inlineStr">
        <is>
          <t>urn:oid:2.16.840.1.113883.5.1008</t>
        </is>
      </c>
      <c r="C13" t="inlineStr">
        <is>
          <t>NASK</t>
        </is>
      </c>
      <c r="D13" t="inlineStr">
        <is>
          <t>Not asked</t>
        </is>
      </c>
      <c r="E13" t="inlineStr">
        <is>
          <t>nullflavor</t>
        </is>
      </c>
      <c r="F13" t="inlineStr">
        <is>
          <t>nullflavor</t>
        </is>
      </c>
      <c r="G13" t="inlineStr">
        <is>
          <t>example</t>
        </is>
      </c>
      <c r="H13" t="inlineStr">
        <is>
          <t>true</t>
        </is>
      </c>
      <c r="I13" t="inlineStr">
        <is>
          <t>12</t>
        </is>
      </c>
      <c r="J13" t="inlineStr">
        <is>
          <t>Do not collapse with valid race codes in reporting</t>
        </is>
      </c>
      <c r="K13" t="inlineStr">
        <is>
          <t>true</t>
        </is>
      </c>
    </row>
    <row r="14">
      <c r="A14" t="inlineStr">
        <is>
          <t>Patient.race</t>
        </is>
      </c>
      <c r="B14" t="inlineStr">
        <is>
          <t>urn:oid:2.16.840.1.113883.6.238</t>
        </is>
      </c>
      <c r="C14" t="inlineStr">
        <is>
          <t>1002-5</t>
        </is>
      </c>
      <c r="D14" t="inlineStr">
        <is>
          <t>American Indian or Alaska Native</t>
        </is>
      </c>
      <c r="E14" t="inlineStr">
        <is>
          <t>omb_rollup</t>
        </is>
      </c>
      <c r="F14" t="inlineStr">
        <is>
          <t>primary</t>
        </is>
      </c>
      <c r="G14" t="inlineStr">
        <is>
          <t>required</t>
        </is>
      </c>
      <c r="H14" t="inlineStr">
        <is>
          <t>true</t>
        </is>
      </c>
      <c r="I14" t="inlineStr">
        <is>
          <t>1</t>
        </is>
      </c>
      <c r="J14" t="inlineStr">
        <is>
          <t>HL7 Race Value Set / CDC PHIN reporting rollup | HL7 ValueSet expand (2026-06-09)</t>
        </is>
      </c>
      <c r="K14" t="inlineStr">
        <is>
          <t>true</t>
        </is>
      </c>
    </row>
    <row r="15">
      <c r="A15" t="inlineStr">
        <is>
          <t>Patient.race</t>
        </is>
      </c>
      <c r="B15" t="inlineStr">
        <is>
          <t>urn:oid:2.16.840.1.113883.6.238</t>
        </is>
      </c>
      <c r="C15" t="inlineStr">
        <is>
          <t>2028-9</t>
        </is>
      </c>
      <c r="D15" t="inlineStr">
        <is>
          <t>Asian</t>
        </is>
      </c>
      <c r="E15" t="inlineStr">
        <is>
          <t>omb_rollup</t>
        </is>
      </c>
      <c r="F15" t="inlineStr">
        <is>
          <t>primary</t>
        </is>
      </c>
      <c r="G15" t="inlineStr">
        <is>
          <t>required</t>
        </is>
      </c>
      <c r="H15" t="inlineStr">
        <is>
          <t>true</t>
        </is>
      </c>
      <c r="I15" t="inlineStr">
        <is>
          <t>2</t>
        </is>
      </c>
      <c r="J15" t="inlineStr">
        <is>
          <t>HL7 Race Value Set / CDC PHIN reporting rollup | HL7 ValueSet expand (2026-06-09)</t>
        </is>
      </c>
      <c r="K15" t="inlineStr">
        <is>
          <t>true</t>
        </is>
      </c>
    </row>
    <row r="16">
      <c r="A16" t="inlineStr">
        <is>
          <t>Patient.race</t>
        </is>
      </c>
      <c r="B16" t="inlineStr">
        <is>
          <t>urn:oid:2.16.840.1.113883.6.238</t>
        </is>
      </c>
      <c r="C16" t="inlineStr">
        <is>
          <t>2054-5</t>
        </is>
      </c>
      <c r="D16" t="inlineStr">
        <is>
          <t>Black or African American</t>
        </is>
      </c>
      <c r="E16" t="inlineStr">
        <is>
          <t>omb_rollup</t>
        </is>
      </c>
      <c r="F16" t="inlineStr">
        <is>
          <t>primary</t>
        </is>
      </c>
      <c r="G16" t="inlineStr">
        <is>
          <t>required</t>
        </is>
      </c>
      <c r="H16" t="inlineStr">
        <is>
          <t>true</t>
        </is>
      </c>
      <c r="I16" t="inlineStr">
        <is>
          <t>3</t>
        </is>
      </c>
      <c r="J16" t="inlineStr">
        <is>
          <t>HL7 Race Value Set / CDC PHIN reporting rollup | HL7 ValueSet expand (2026-06-09)</t>
        </is>
      </c>
      <c r="K16" t="inlineStr">
        <is>
          <t>true</t>
        </is>
      </c>
    </row>
    <row r="17">
      <c r="A17" t="inlineStr">
        <is>
          <t>Patient.race</t>
        </is>
      </c>
      <c r="B17" t="inlineStr">
        <is>
          <t>urn:oid:2.16.840.1.113883.6.238</t>
        </is>
      </c>
      <c r="C17" t="inlineStr">
        <is>
          <t>2076-8</t>
        </is>
      </c>
      <c r="D17" t="inlineStr">
        <is>
          <t>Native Hawaiian or Other Pacific Islander</t>
        </is>
      </c>
      <c r="E17" t="inlineStr">
        <is>
          <t>omb_rollup</t>
        </is>
      </c>
      <c r="F17" t="inlineStr">
        <is>
          <t>primary</t>
        </is>
      </c>
      <c r="G17" t="inlineStr">
        <is>
          <t>required</t>
        </is>
      </c>
      <c r="H17" t="inlineStr">
        <is>
          <t>true</t>
        </is>
      </c>
      <c r="I17" t="inlineStr">
        <is>
          <t>4</t>
        </is>
      </c>
      <c r="J17" t="inlineStr">
        <is>
          <t>HL7 Race Value Set / CDC PHIN reporting rollup | HL7 ValueSet expand (2026-06-09)</t>
        </is>
      </c>
      <c r="K17" t="inlineStr">
        <is>
          <t>true</t>
        </is>
      </c>
    </row>
    <row r="18">
      <c r="A18" t="inlineStr">
        <is>
          <t>Patient.race</t>
        </is>
      </c>
      <c r="B18" t="inlineStr">
        <is>
          <t>urn:oid:2.16.840.1.113883.6.238</t>
        </is>
      </c>
      <c r="C18" t="inlineStr">
        <is>
          <t>2106-3</t>
        </is>
      </c>
      <c r="D18" t="inlineStr">
        <is>
          <t>White</t>
        </is>
      </c>
      <c r="E18" t="inlineStr">
        <is>
          <t>omb_rollup</t>
        </is>
      </c>
      <c r="F18" t="inlineStr">
        <is>
          <t>primary</t>
        </is>
      </c>
      <c r="G18" t="inlineStr">
        <is>
          <t>required</t>
        </is>
      </c>
      <c r="H18" t="inlineStr">
        <is>
          <t>true</t>
        </is>
      </c>
      <c r="I18" t="inlineStr">
        <is>
          <t>5</t>
        </is>
      </c>
      <c r="J18" t="inlineStr">
        <is>
          <t>HL7 Race Value Set / CDC PHIN reporting rollup | HL7 ValueSet expand (2026-06-09)</t>
        </is>
      </c>
      <c r="K18" t="inlineStr">
        <is>
          <t>true</t>
        </is>
      </c>
    </row>
    <row r="19">
      <c r="A19" t="inlineStr">
        <is>
          <t>Patient.race</t>
        </is>
      </c>
      <c r="B19" t="inlineStr">
        <is>
          <t>urn:oid:2.16.840.1.113883.6.238</t>
        </is>
      </c>
      <c r="C19" t="inlineStr">
        <is>
          <t>2131-1</t>
        </is>
      </c>
      <c r="D19" t="inlineStr">
        <is>
          <t>Other Race</t>
        </is>
      </c>
      <c r="E19" t="inlineStr">
        <is>
          <t>omb_rollup</t>
        </is>
      </c>
      <c r="F19" t="inlineStr">
        <is>
          <t>primary</t>
        </is>
      </c>
      <c r="G19" t="inlineStr">
        <is>
          <t>required</t>
        </is>
      </c>
      <c r="H19" t="inlineStr">
        <is>
          <t>true</t>
        </is>
      </c>
      <c r="I19" t="inlineStr">
        <is>
          <t>6</t>
        </is>
      </c>
      <c r="J19" t="inlineStr">
        <is>
          <t>HL7 Race Value Set / CDC PHIN reporting rollup | HL7 ValueSet expand (2026-06-09)</t>
        </is>
      </c>
      <c r="K19" t="inlineStr">
        <is>
          <t>true</t>
        </is>
      </c>
    </row>
    <row r="20">
      <c r="A20" t="inlineStr">
        <is>
          <t>Patient.race</t>
        </is>
      </c>
      <c r="B20" t="inlineStr">
        <is>
          <t>urn:oid:2.16.840.1.113883.6.238</t>
        </is>
      </c>
      <c r="C20" t="inlineStr">
        <is>
          <t>1004-1</t>
        </is>
      </c>
      <c r="D20" t="inlineStr">
        <is>
          <t>American Indian</t>
        </is>
      </c>
      <c r="E20" t="inlineStr">
        <is>
          <t>detailed</t>
        </is>
      </c>
      <c r="F20" t="inlineStr">
        <is>
          <t>primary</t>
        </is>
      </c>
      <c r="G20" t="inlineStr">
        <is>
          <t>required</t>
        </is>
      </c>
      <c r="H20" t="inlineStr">
        <is>
          <t>true</t>
        </is>
      </c>
      <c r="I20" t="inlineStr">
        <is>
          <t>107</t>
        </is>
      </c>
      <c r="J20" t="inlineStr">
        <is>
          <t>HL7 ValueSet expand (2026-06-09)</t>
        </is>
      </c>
      <c r="K20" t="inlineStr">
        <is>
          <t>false</t>
        </is>
      </c>
    </row>
    <row r="21">
      <c r="A21" t="inlineStr">
        <is>
          <t>Patient.race</t>
        </is>
      </c>
      <c r="B21" t="inlineStr">
        <is>
          <t>urn:oid:2.16.840.1.113883.6.238</t>
        </is>
      </c>
      <c r="C21" t="inlineStr">
        <is>
          <t>1006-6</t>
        </is>
      </c>
      <c r="D21" t="inlineStr">
        <is>
          <t>Abenaki</t>
        </is>
      </c>
      <c r="E21" t="inlineStr">
        <is>
          <t>detailed</t>
        </is>
      </c>
      <c r="F21" t="inlineStr">
        <is>
          <t>primary</t>
        </is>
      </c>
      <c r="G21" t="inlineStr">
        <is>
          <t>required</t>
        </is>
      </c>
      <c r="H21" t="inlineStr">
        <is>
          <t>true</t>
        </is>
      </c>
      <c r="I21" t="inlineStr">
        <is>
          <t>108</t>
        </is>
      </c>
      <c r="J21" t="inlineStr">
        <is>
          <t>HL7 ValueSet expand (2026-06-09)</t>
        </is>
      </c>
      <c r="K21" t="inlineStr">
        <is>
          <t>false</t>
        </is>
      </c>
    </row>
    <row r="22">
      <c r="A22" t="inlineStr">
        <is>
          <t>Patient.race</t>
        </is>
      </c>
      <c r="B22" t="inlineStr">
        <is>
          <t>urn:oid:2.16.840.1.113883.6.238</t>
        </is>
      </c>
      <c r="C22" t="inlineStr">
        <is>
          <t>1008-2</t>
        </is>
      </c>
      <c r="D22" t="inlineStr">
        <is>
          <t>Algonquian</t>
        </is>
      </c>
      <c r="E22" t="inlineStr">
        <is>
          <t>detailed</t>
        </is>
      </c>
      <c r="F22" t="inlineStr">
        <is>
          <t>primary</t>
        </is>
      </c>
      <c r="G22" t="inlineStr">
        <is>
          <t>required</t>
        </is>
      </c>
      <c r="H22" t="inlineStr">
        <is>
          <t>true</t>
        </is>
      </c>
      <c r="I22" t="inlineStr">
        <is>
          <t>109</t>
        </is>
      </c>
      <c r="J22" t="inlineStr">
        <is>
          <t>HL7 ValueSet expand (2026-06-09)</t>
        </is>
      </c>
      <c r="K22" t="inlineStr">
        <is>
          <t>false</t>
        </is>
      </c>
    </row>
    <row r="23">
      <c r="A23" t="inlineStr">
        <is>
          <t>Patient.race</t>
        </is>
      </c>
      <c r="B23" t="inlineStr">
        <is>
          <t>urn:oid:2.16.840.1.113883.6.238</t>
        </is>
      </c>
      <c r="C23" t="inlineStr">
        <is>
          <t>1010-8</t>
        </is>
      </c>
      <c r="D23" t="inlineStr">
        <is>
          <t>Apache</t>
        </is>
      </c>
      <c r="E23" t="inlineStr">
        <is>
          <t>detailed</t>
        </is>
      </c>
      <c r="F23" t="inlineStr">
        <is>
          <t>primary</t>
        </is>
      </c>
      <c r="G23" t="inlineStr">
        <is>
          <t>required</t>
        </is>
      </c>
      <c r="H23" t="inlineStr">
        <is>
          <t>true</t>
        </is>
      </c>
      <c r="I23" t="inlineStr">
        <is>
          <t>110</t>
        </is>
      </c>
      <c r="J23" t="inlineStr">
        <is>
          <t>HL7 ValueSet expand (2026-06-09)</t>
        </is>
      </c>
      <c r="K23" t="inlineStr">
        <is>
          <t>false</t>
        </is>
      </c>
    </row>
    <row r="24">
      <c r="A24" t="inlineStr">
        <is>
          <t>Patient.race</t>
        </is>
      </c>
      <c r="B24" t="inlineStr">
        <is>
          <t>urn:oid:2.16.840.1.113883.6.238</t>
        </is>
      </c>
      <c r="C24" t="inlineStr">
        <is>
          <t>1011-6</t>
        </is>
      </c>
      <c r="D24" t="inlineStr">
        <is>
          <t>Chiricahua</t>
        </is>
      </c>
      <c r="E24" t="inlineStr">
        <is>
          <t>detailed</t>
        </is>
      </c>
      <c r="F24" t="inlineStr">
        <is>
          <t>primary</t>
        </is>
      </c>
      <c r="G24" t="inlineStr">
        <is>
          <t>required</t>
        </is>
      </c>
      <c r="H24" t="inlineStr">
        <is>
          <t>true</t>
        </is>
      </c>
      <c r="I24" t="inlineStr">
        <is>
          <t>111</t>
        </is>
      </c>
      <c r="J24" t="inlineStr">
        <is>
          <t>HL7 ValueSet expand (2026-06-09)</t>
        </is>
      </c>
      <c r="K24" t="inlineStr">
        <is>
          <t>false</t>
        </is>
      </c>
    </row>
    <row r="25">
      <c r="A25" t="inlineStr">
        <is>
          <t>Patient.race</t>
        </is>
      </c>
      <c r="B25" t="inlineStr">
        <is>
          <t>urn:oid:2.16.840.1.113883.6.238</t>
        </is>
      </c>
      <c r="C25" t="inlineStr">
        <is>
          <t>1012-4</t>
        </is>
      </c>
      <c r="D25" t="inlineStr">
        <is>
          <t>Fort Sill Apache</t>
        </is>
      </c>
      <c r="E25" t="inlineStr">
        <is>
          <t>detailed</t>
        </is>
      </c>
      <c r="F25" t="inlineStr">
        <is>
          <t>primary</t>
        </is>
      </c>
      <c r="G25" t="inlineStr">
        <is>
          <t>required</t>
        </is>
      </c>
      <c r="H25" t="inlineStr">
        <is>
          <t>true</t>
        </is>
      </c>
      <c r="I25" t="inlineStr">
        <is>
          <t>112</t>
        </is>
      </c>
      <c r="J25" t="inlineStr">
        <is>
          <t>HL7 ValueSet expand (2026-06-09)</t>
        </is>
      </c>
      <c r="K25" t="inlineStr">
        <is>
          <t>false</t>
        </is>
      </c>
    </row>
    <row r="26">
      <c r="A26" t="inlineStr">
        <is>
          <t>Patient.race</t>
        </is>
      </c>
      <c r="B26" t="inlineStr">
        <is>
          <t>urn:oid:2.16.840.1.113883.6.238</t>
        </is>
      </c>
      <c r="C26" t="inlineStr">
        <is>
          <t>1013-2</t>
        </is>
      </c>
      <c r="D26" t="inlineStr">
        <is>
          <t>Jicarilla Apache</t>
        </is>
      </c>
      <c r="E26" t="inlineStr">
        <is>
          <t>detailed</t>
        </is>
      </c>
      <c r="F26" t="inlineStr">
        <is>
          <t>primary</t>
        </is>
      </c>
      <c r="G26" t="inlineStr">
        <is>
          <t>required</t>
        </is>
      </c>
      <c r="H26" t="inlineStr">
        <is>
          <t>true</t>
        </is>
      </c>
      <c r="I26" t="inlineStr">
        <is>
          <t>113</t>
        </is>
      </c>
      <c r="J26" t="inlineStr">
        <is>
          <t>HL7 ValueSet expand (2026-06-09)</t>
        </is>
      </c>
      <c r="K26" t="inlineStr">
        <is>
          <t>false</t>
        </is>
      </c>
    </row>
    <row r="27">
      <c r="A27" t="inlineStr">
        <is>
          <t>Patient.race</t>
        </is>
      </c>
      <c r="B27" t="inlineStr">
        <is>
          <t>urn:oid:2.16.840.1.113883.6.238</t>
        </is>
      </c>
      <c r="C27" t="inlineStr">
        <is>
          <t>1014-0</t>
        </is>
      </c>
      <c r="D27" t="inlineStr">
        <is>
          <t>Lipan Apache</t>
        </is>
      </c>
      <c r="E27" t="inlineStr">
        <is>
          <t>detailed</t>
        </is>
      </c>
      <c r="F27" t="inlineStr">
        <is>
          <t>primary</t>
        </is>
      </c>
      <c r="G27" t="inlineStr">
        <is>
          <t>required</t>
        </is>
      </c>
      <c r="H27" t="inlineStr">
        <is>
          <t>true</t>
        </is>
      </c>
      <c r="I27" t="inlineStr">
        <is>
          <t>114</t>
        </is>
      </c>
      <c r="J27" t="inlineStr">
        <is>
          <t>HL7 ValueSet expand (2026-06-09)</t>
        </is>
      </c>
      <c r="K27" t="inlineStr">
        <is>
          <t>false</t>
        </is>
      </c>
    </row>
    <row r="28">
      <c r="A28" t="inlineStr">
        <is>
          <t>Patient.race</t>
        </is>
      </c>
      <c r="B28" t="inlineStr">
        <is>
          <t>urn:oid:2.16.840.1.113883.6.238</t>
        </is>
      </c>
      <c r="C28" t="inlineStr">
        <is>
          <t>1015-7</t>
        </is>
      </c>
      <c r="D28" t="inlineStr">
        <is>
          <t>Mescalero Apache</t>
        </is>
      </c>
      <c r="E28" t="inlineStr">
        <is>
          <t>detailed</t>
        </is>
      </c>
      <c r="F28" t="inlineStr">
        <is>
          <t>primary</t>
        </is>
      </c>
      <c r="G28" t="inlineStr">
        <is>
          <t>required</t>
        </is>
      </c>
      <c r="H28" t="inlineStr">
        <is>
          <t>true</t>
        </is>
      </c>
      <c r="I28" t="inlineStr">
        <is>
          <t>115</t>
        </is>
      </c>
      <c r="J28" t="inlineStr">
        <is>
          <t>HL7 ValueSet expand (2026-06-09)</t>
        </is>
      </c>
      <c r="K28" t="inlineStr">
        <is>
          <t>false</t>
        </is>
      </c>
    </row>
    <row r="29">
      <c r="A29" t="inlineStr">
        <is>
          <t>Patient.race</t>
        </is>
      </c>
      <c r="B29" t="inlineStr">
        <is>
          <t>urn:oid:2.16.840.1.113883.6.238</t>
        </is>
      </c>
      <c r="C29" t="inlineStr">
        <is>
          <t>1016-5</t>
        </is>
      </c>
      <c r="D29" t="inlineStr">
        <is>
          <t>Oklahoma Apache</t>
        </is>
      </c>
      <c r="E29" t="inlineStr">
        <is>
          <t>detailed</t>
        </is>
      </c>
      <c r="F29" t="inlineStr">
        <is>
          <t>primary</t>
        </is>
      </c>
      <c r="G29" t="inlineStr">
        <is>
          <t>required</t>
        </is>
      </c>
      <c r="H29" t="inlineStr">
        <is>
          <t>true</t>
        </is>
      </c>
      <c r="I29" t="inlineStr">
        <is>
          <t>116</t>
        </is>
      </c>
      <c r="J29" t="inlineStr">
        <is>
          <t>HL7 ValueSet expand (2026-06-09)</t>
        </is>
      </c>
      <c r="K29" t="inlineStr">
        <is>
          <t>false</t>
        </is>
      </c>
    </row>
    <row r="30">
      <c r="A30" t="inlineStr">
        <is>
          <t>Patient.race</t>
        </is>
      </c>
      <c r="B30" t="inlineStr">
        <is>
          <t>urn:oid:2.16.840.1.113883.6.238</t>
        </is>
      </c>
      <c r="C30" t="inlineStr">
        <is>
          <t>1017-3</t>
        </is>
      </c>
      <c r="D30" t="inlineStr">
        <is>
          <t>Payson Apache</t>
        </is>
      </c>
      <c r="E30" t="inlineStr">
        <is>
          <t>detailed</t>
        </is>
      </c>
      <c r="F30" t="inlineStr">
        <is>
          <t>primary</t>
        </is>
      </c>
      <c r="G30" t="inlineStr">
        <is>
          <t>required</t>
        </is>
      </c>
      <c r="H30" t="inlineStr">
        <is>
          <t>true</t>
        </is>
      </c>
      <c r="I30" t="inlineStr">
        <is>
          <t>117</t>
        </is>
      </c>
      <c r="J30" t="inlineStr">
        <is>
          <t>HL7 ValueSet expand (2026-06-09)</t>
        </is>
      </c>
      <c r="K30" t="inlineStr">
        <is>
          <t>false</t>
        </is>
      </c>
    </row>
    <row r="31">
      <c r="A31" t="inlineStr">
        <is>
          <t>Patient.race</t>
        </is>
      </c>
      <c r="B31" t="inlineStr">
        <is>
          <t>urn:oid:2.16.840.1.113883.6.238</t>
        </is>
      </c>
      <c r="C31" t="inlineStr">
        <is>
          <t>1018-1</t>
        </is>
      </c>
      <c r="D31" t="inlineStr">
        <is>
          <t>San Carlos Apache</t>
        </is>
      </c>
      <c r="E31" t="inlineStr">
        <is>
          <t>detailed</t>
        </is>
      </c>
      <c r="F31" t="inlineStr">
        <is>
          <t>primary</t>
        </is>
      </c>
      <c r="G31" t="inlineStr">
        <is>
          <t>required</t>
        </is>
      </c>
      <c r="H31" t="inlineStr">
        <is>
          <t>true</t>
        </is>
      </c>
      <c r="I31" t="inlineStr">
        <is>
          <t>118</t>
        </is>
      </c>
      <c r="J31" t="inlineStr">
        <is>
          <t>HL7 ValueSet expand (2026-06-09)</t>
        </is>
      </c>
      <c r="K31" t="inlineStr">
        <is>
          <t>false</t>
        </is>
      </c>
    </row>
    <row r="32">
      <c r="A32" t="inlineStr">
        <is>
          <t>Patient.race</t>
        </is>
      </c>
      <c r="B32" t="inlineStr">
        <is>
          <t>urn:oid:2.16.840.1.113883.6.238</t>
        </is>
      </c>
      <c r="C32" t="inlineStr">
        <is>
          <t>1019-9</t>
        </is>
      </c>
      <c r="D32" t="inlineStr">
        <is>
          <t>White Mountain Apache</t>
        </is>
      </c>
      <c r="E32" t="inlineStr">
        <is>
          <t>detailed</t>
        </is>
      </c>
      <c r="F32" t="inlineStr">
        <is>
          <t>primary</t>
        </is>
      </c>
      <c r="G32" t="inlineStr">
        <is>
          <t>required</t>
        </is>
      </c>
      <c r="H32" t="inlineStr">
        <is>
          <t>true</t>
        </is>
      </c>
      <c r="I32" t="inlineStr">
        <is>
          <t>119</t>
        </is>
      </c>
      <c r="J32" t="inlineStr">
        <is>
          <t>HL7 ValueSet expand (2026-06-09)</t>
        </is>
      </c>
      <c r="K32" t="inlineStr">
        <is>
          <t>false</t>
        </is>
      </c>
    </row>
    <row r="33">
      <c r="A33" t="inlineStr">
        <is>
          <t>Patient.race</t>
        </is>
      </c>
      <c r="B33" t="inlineStr">
        <is>
          <t>urn:oid:2.16.840.1.113883.6.238</t>
        </is>
      </c>
      <c r="C33" t="inlineStr">
        <is>
          <t>1021-5</t>
        </is>
      </c>
      <c r="D33" t="inlineStr">
        <is>
          <t>Arapaho</t>
        </is>
      </c>
      <c r="E33" t="inlineStr">
        <is>
          <t>detailed</t>
        </is>
      </c>
      <c r="F33" t="inlineStr">
        <is>
          <t>primary</t>
        </is>
      </c>
      <c r="G33" t="inlineStr">
        <is>
          <t>required</t>
        </is>
      </c>
      <c r="H33" t="inlineStr">
        <is>
          <t>true</t>
        </is>
      </c>
      <c r="I33" t="inlineStr">
        <is>
          <t>120</t>
        </is>
      </c>
      <c r="J33" t="inlineStr">
        <is>
          <t>HL7 ValueSet expand (2026-06-09)</t>
        </is>
      </c>
      <c r="K33" t="inlineStr">
        <is>
          <t>false</t>
        </is>
      </c>
    </row>
    <row r="34">
      <c r="A34" t="inlineStr">
        <is>
          <t>Patient.race</t>
        </is>
      </c>
      <c r="B34" t="inlineStr">
        <is>
          <t>urn:oid:2.16.840.1.113883.6.238</t>
        </is>
      </c>
      <c r="C34" t="inlineStr">
        <is>
          <t>1022-3</t>
        </is>
      </c>
      <c r="D34" t="inlineStr">
        <is>
          <t>Northern Arapaho</t>
        </is>
      </c>
      <c r="E34" t="inlineStr">
        <is>
          <t>detailed</t>
        </is>
      </c>
      <c r="F34" t="inlineStr">
        <is>
          <t>primary</t>
        </is>
      </c>
      <c r="G34" t="inlineStr">
        <is>
          <t>required</t>
        </is>
      </c>
      <c r="H34" t="inlineStr">
        <is>
          <t>true</t>
        </is>
      </c>
      <c r="I34" t="inlineStr">
        <is>
          <t>121</t>
        </is>
      </c>
      <c r="J34" t="inlineStr">
        <is>
          <t>HL7 ValueSet expand (2026-06-09)</t>
        </is>
      </c>
      <c r="K34" t="inlineStr">
        <is>
          <t>false</t>
        </is>
      </c>
    </row>
    <row r="35">
      <c r="A35" t="inlineStr">
        <is>
          <t>Patient.race</t>
        </is>
      </c>
      <c r="B35" t="inlineStr">
        <is>
          <t>urn:oid:2.16.840.1.113883.6.238</t>
        </is>
      </c>
      <c r="C35" t="inlineStr">
        <is>
          <t>1023-1</t>
        </is>
      </c>
      <c r="D35" t="inlineStr">
        <is>
          <t>Southern Arapaho</t>
        </is>
      </c>
      <c r="E35" t="inlineStr">
        <is>
          <t>detailed</t>
        </is>
      </c>
      <c r="F35" t="inlineStr">
        <is>
          <t>primary</t>
        </is>
      </c>
      <c r="G35" t="inlineStr">
        <is>
          <t>required</t>
        </is>
      </c>
      <c r="H35" t="inlineStr">
        <is>
          <t>true</t>
        </is>
      </c>
      <c r="I35" t="inlineStr">
        <is>
          <t>122</t>
        </is>
      </c>
      <c r="J35" t="inlineStr">
        <is>
          <t>HL7 ValueSet expand (2026-06-09)</t>
        </is>
      </c>
      <c r="K35" t="inlineStr">
        <is>
          <t>false</t>
        </is>
      </c>
    </row>
    <row r="36">
      <c r="A36" t="inlineStr">
        <is>
          <t>Patient.race</t>
        </is>
      </c>
      <c r="B36" t="inlineStr">
        <is>
          <t>urn:oid:2.16.840.1.113883.6.238</t>
        </is>
      </c>
      <c r="C36" t="inlineStr">
        <is>
          <t>1024-9</t>
        </is>
      </c>
      <c r="D36" t="inlineStr">
        <is>
          <t>Wind River Arapaho</t>
        </is>
      </c>
      <c r="E36" t="inlineStr">
        <is>
          <t>detailed</t>
        </is>
      </c>
      <c r="F36" t="inlineStr">
        <is>
          <t>primary</t>
        </is>
      </c>
      <c r="G36" t="inlineStr">
        <is>
          <t>required</t>
        </is>
      </c>
      <c r="H36" t="inlineStr">
        <is>
          <t>true</t>
        </is>
      </c>
      <c r="I36" t="inlineStr">
        <is>
          <t>123</t>
        </is>
      </c>
      <c r="J36" t="inlineStr">
        <is>
          <t>HL7 ValueSet expand (2026-06-09)</t>
        </is>
      </c>
      <c r="K36" t="inlineStr">
        <is>
          <t>false</t>
        </is>
      </c>
    </row>
    <row r="37">
      <c r="A37" t="inlineStr">
        <is>
          <t>Patient.race</t>
        </is>
      </c>
      <c r="B37" t="inlineStr">
        <is>
          <t>urn:oid:2.16.840.1.113883.6.238</t>
        </is>
      </c>
      <c r="C37" t="inlineStr">
        <is>
          <t>1026-4</t>
        </is>
      </c>
      <c r="D37" t="inlineStr">
        <is>
          <t>Arikara</t>
        </is>
      </c>
      <c r="E37" t="inlineStr">
        <is>
          <t>detailed</t>
        </is>
      </c>
      <c r="F37" t="inlineStr">
        <is>
          <t>primary</t>
        </is>
      </c>
      <c r="G37" t="inlineStr">
        <is>
          <t>required</t>
        </is>
      </c>
      <c r="H37" t="inlineStr">
        <is>
          <t>true</t>
        </is>
      </c>
      <c r="I37" t="inlineStr">
        <is>
          <t>124</t>
        </is>
      </c>
      <c r="J37" t="inlineStr">
        <is>
          <t>HL7 ValueSet expand (2026-06-09)</t>
        </is>
      </c>
      <c r="K37" t="inlineStr">
        <is>
          <t>false</t>
        </is>
      </c>
    </row>
    <row r="38">
      <c r="A38" t="inlineStr">
        <is>
          <t>Patient.race</t>
        </is>
      </c>
      <c r="B38" t="inlineStr">
        <is>
          <t>urn:oid:2.16.840.1.113883.6.238</t>
        </is>
      </c>
      <c r="C38" t="inlineStr">
        <is>
          <t>1028-0</t>
        </is>
      </c>
      <c r="D38" t="inlineStr">
        <is>
          <t>Assiniboine</t>
        </is>
      </c>
      <c r="E38" t="inlineStr">
        <is>
          <t>detailed</t>
        </is>
      </c>
      <c r="F38" t="inlineStr">
        <is>
          <t>primary</t>
        </is>
      </c>
      <c r="G38" t="inlineStr">
        <is>
          <t>required</t>
        </is>
      </c>
      <c r="H38" t="inlineStr">
        <is>
          <t>true</t>
        </is>
      </c>
      <c r="I38" t="inlineStr">
        <is>
          <t>125</t>
        </is>
      </c>
      <c r="J38" t="inlineStr">
        <is>
          <t>HL7 ValueSet expand (2026-06-09)</t>
        </is>
      </c>
      <c r="K38" t="inlineStr">
        <is>
          <t>false</t>
        </is>
      </c>
    </row>
    <row r="39">
      <c r="A39" t="inlineStr">
        <is>
          <t>Patient.race</t>
        </is>
      </c>
      <c r="B39" t="inlineStr">
        <is>
          <t>urn:oid:2.16.840.1.113883.6.238</t>
        </is>
      </c>
      <c r="C39" t="inlineStr">
        <is>
          <t>1030-6</t>
        </is>
      </c>
      <c r="D39" t="inlineStr">
        <is>
          <t>Assiniboine Sioux</t>
        </is>
      </c>
      <c r="E39" t="inlineStr">
        <is>
          <t>detailed</t>
        </is>
      </c>
      <c r="F39" t="inlineStr">
        <is>
          <t>primary</t>
        </is>
      </c>
      <c r="G39" t="inlineStr">
        <is>
          <t>required</t>
        </is>
      </c>
      <c r="H39" t="inlineStr">
        <is>
          <t>true</t>
        </is>
      </c>
      <c r="I39" t="inlineStr">
        <is>
          <t>126</t>
        </is>
      </c>
      <c r="J39" t="inlineStr">
        <is>
          <t>HL7 ValueSet expand (2026-06-09)</t>
        </is>
      </c>
      <c r="K39" t="inlineStr">
        <is>
          <t>false</t>
        </is>
      </c>
    </row>
    <row r="40">
      <c r="A40" t="inlineStr">
        <is>
          <t>Patient.race</t>
        </is>
      </c>
      <c r="B40" t="inlineStr">
        <is>
          <t>urn:oid:2.16.840.1.113883.6.238</t>
        </is>
      </c>
      <c r="C40" t="inlineStr">
        <is>
          <t>1031-4</t>
        </is>
      </c>
      <c r="D40" t="inlineStr">
        <is>
          <t>Fort Peck Assiniboine Sioux</t>
        </is>
      </c>
      <c r="E40" t="inlineStr">
        <is>
          <t>detailed</t>
        </is>
      </c>
      <c r="F40" t="inlineStr">
        <is>
          <t>primary</t>
        </is>
      </c>
      <c r="G40" t="inlineStr">
        <is>
          <t>required</t>
        </is>
      </c>
      <c r="H40" t="inlineStr">
        <is>
          <t>true</t>
        </is>
      </c>
      <c r="I40" t="inlineStr">
        <is>
          <t>127</t>
        </is>
      </c>
      <c r="J40" t="inlineStr">
        <is>
          <t>HL7 ValueSet expand (2026-06-09)</t>
        </is>
      </c>
      <c r="K40" t="inlineStr">
        <is>
          <t>false</t>
        </is>
      </c>
    </row>
    <row r="41">
      <c r="A41" t="inlineStr">
        <is>
          <t>Patient.race</t>
        </is>
      </c>
      <c r="B41" t="inlineStr">
        <is>
          <t>urn:oid:2.16.840.1.113883.6.238</t>
        </is>
      </c>
      <c r="C41" t="inlineStr">
        <is>
          <t>1033-0</t>
        </is>
      </c>
      <c r="D41" t="inlineStr">
        <is>
          <t>Bannock</t>
        </is>
      </c>
      <c r="E41" t="inlineStr">
        <is>
          <t>detailed</t>
        </is>
      </c>
      <c r="F41" t="inlineStr">
        <is>
          <t>primary</t>
        </is>
      </c>
      <c r="G41" t="inlineStr">
        <is>
          <t>required</t>
        </is>
      </c>
      <c r="H41" t="inlineStr">
        <is>
          <t>true</t>
        </is>
      </c>
      <c r="I41" t="inlineStr">
        <is>
          <t>128</t>
        </is>
      </c>
      <c r="J41" t="inlineStr">
        <is>
          <t>HL7 ValueSet expand (2026-06-09)</t>
        </is>
      </c>
      <c r="K41" t="inlineStr">
        <is>
          <t>false</t>
        </is>
      </c>
    </row>
    <row r="42">
      <c r="A42" t="inlineStr">
        <is>
          <t>Patient.race</t>
        </is>
      </c>
      <c r="B42" t="inlineStr">
        <is>
          <t>urn:oid:2.16.840.1.113883.6.238</t>
        </is>
      </c>
      <c r="C42" t="inlineStr">
        <is>
          <t>1035-5</t>
        </is>
      </c>
      <c r="D42" t="inlineStr">
        <is>
          <t>Blackfeet</t>
        </is>
      </c>
      <c r="E42" t="inlineStr">
        <is>
          <t>detailed</t>
        </is>
      </c>
      <c r="F42" t="inlineStr">
        <is>
          <t>primary</t>
        </is>
      </c>
      <c r="G42" t="inlineStr">
        <is>
          <t>required</t>
        </is>
      </c>
      <c r="H42" t="inlineStr">
        <is>
          <t>true</t>
        </is>
      </c>
      <c r="I42" t="inlineStr">
        <is>
          <t>129</t>
        </is>
      </c>
      <c r="J42" t="inlineStr">
        <is>
          <t>HL7 ValueSet expand (2026-06-09)</t>
        </is>
      </c>
      <c r="K42" t="inlineStr">
        <is>
          <t>false</t>
        </is>
      </c>
    </row>
    <row r="43">
      <c r="A43" t="inlineStr">
        <is>
          <t>Patient.race</t>
        </is>
      </c>
      <c r="B43" t="inlineStr">
        <is>
          <t>urn:oid:2.16.840.1.113883.6.238</t>
        </is>
      </c>
      <c r="C43" t="inlineStr">
        <is>
          <t>1037-1</t>
        </is>
      </c>
      <c r="D43" t="inlineStr">
        <is>
          <t>Brotherton</t>
        </is>
      </c>
      <c r="E43" t="inlineStr">
        <is>
          <t>detailed</t>
        </is>
      </c>
      <c r="F43" t="inlineStr">
        <is>
          <t>primary</t>
        </is>
      </c>
      <c r="G43" t="inlineStr">
        <is>
          <t>required</t>
        </is>
      </c>
      <c r="H43" t="inlineStr">
        <is>
          <t>true</t>
        </is>
      </c>
      <c r="I43" t="inlineStr">
        <is>
          <t>130</t>
        </is>
      </c>
      <c r="J43" t="inlineStr">
        <is>
          <t>HL7 ValueSet expand (2026-06-09)</t>
        </is>
      </c>
      <c r="K43" t="inlineStr">
        <is>
          <t>false</t>
        </is>
      </c>
    </row>
    <row r="44">
      <c r="A44" t="inlineStr">
        <is>
          <t>Patient.race</t>
        </is>
      </c>
      <c r="B44" t="inlineStr">
        <is>
          <t>urn:oid:2.16.840.1.113883.6.238</t>
        </is>
      </c>
      <c r="C44" t="inlineStr">
        <is>
          <t>1039-7</t>
        </is>
      </c>
      <c r="D44" t="inlineStr">
        <is>
          <t>Burt Lake Band</t>
        </is>
      </c>
      <c r="E44" t="inlineStr">
        <is>
          <t>detailed</t>
        </is>
      </c>
      <c r="F44" t="inlineStr">
        <is>
          <t>primary</t>
        </is>
      </c>
      <c r="G44" t="inlineStr">
        <is>
          <t>required</t>
        </is>
      </c>
      <c r="H44" t="inlineStr">
        <is>
          <t>true</t>
        </is>
      </c>
      <c r="I44" t="inlineStr">
        <is>
          <t>131</t>
        </is>
      </c>
      <c r="J44" t="inlineStr">
        <is>
          <t>HL7 ValueSet expand (2026-06-09)</t>
        </is>
      </c>
      <c r="K44" t="inlineStr">
        <is>
          <t>false</t>
        </is>
      </c>
    </row>
    <row r="45">
      <c r="A45" t="inlineStr">
        <is>
          <t>Patient.race</t>
        </is>
      </c>
      <c r="B45" t="inlineStr">
        <is>
          <t>urn:oid:2.16.840.1.113883.6.238</t>
        </is>
      </c>
      <c r="C45" t="inlineStr">
        <is>
          <t>1041-3</t>
        </is>
      </c>
      <c r="D45" t="inlineStr">
        <is>
          <t>Caddo</t>
        </is>
      </c>
      <c r="E45" t="inlineStr">
        <is>
          <t>detailed</t>
        </is>
      </c>
      <c r="F45" t="inlineStr">
        <is>
          <t>primary</t>
        </is>
      </c>
      <c r="G45" t="inlineStr">
        <is>
          <t>required</t>
        </is>
      </c>
      <c r="H45" t="inlineStr">
        <is>
          <t>true</t>
        </is>
      </c>
      <c r="I45" t="inlineStr">
        <is>
          <t>132</t>
        </is>
      </c>
      <c r="J45" t="inlineStr">
        <is>
          <t>HL7 ValueSet expand (2026-06-09)</t>
        </is>
      </c>
      <c r="K45" t="inlineStr">
        <is>
          <t>false</t>
        </is>
      </c>
    </row>
    <row r="46">
      <c r="A46" t="inlineStr">
        <is>
          <t>Patient.race</t>
        </is>
      </c>
      <c r="B46" t="inlineStr">
        <is>
          <t>urn:oid:2.16.840.1.113883.6.238</t>
        </is>
      </c>
      <c r="C46" t="inlineStr">
        <is>
          <t>1042-1</t>
        </is>
      </c>
      <c r="D46" t="inlineStr">
        <is>
          <t>Oklahoma Cado</t>
        </is>
      </c>
      <c r="E46" t="inlineStr">
        <is>
          <t>detailed</t>
        </is>
      </c>
      <c r="F46" t="inlineStr">
        <is>
          <t>primary</t>
        </is>
      </c>
      <c r="G46" t="inlineStr">
        <is>
          <t>required</t>
        </is>
      </c>
      <c r="H46" t="inlineStr">
        <is>
          <t>true</t>
        </is>
      </c>
      <c r="I46" t="inlineStr">
        <is>
          <t>133</t>
        </is>
      </c>
      <c r="J46" t="inlineStr">
        <is>
          <t>HL7 ValueSet expand (2026-06-09)</t>
        </is>
      </c>
      <c r="K46" t="inlineStr">
        <is>
          <t>false</t>
        </is>
      </c>
    </row>
    <row r="47">
      <c r="A47" t="inlineStr">
        <is>
          <t>Patient.race</t>
        </is>
      </c>
      <c r="B47" t="inlineStr">
        <is>
          <t>urn:oid:2.16.840.1.113883.6.238</t>
        </is>
      </c>
      <c r="C47" t="inlineStr">
        <is>
          <t>1044-7</t>
        </is>
      </c>
      <c r="D47" t="inlineStr">
        <is>
          <t>Cahuilla</t>
        </is>
      </c>
      <c r="E47" t="inlineStr">
        <is>
          <t>detailed</t>
        </is>
      </c>
      <c r="F47" t="inlineStr">
        <is>
          <t>primary</t>
        </is>
      </c>
      <c r="G47" t="inlineStr">
        <is>
          <t>required</t>
        </is>
      </c>
      <c r="H47" t="inlineStr">
        <is>
          <t>true</t>
        </is>
      </c>
      <c r="I47" t="inlineStr">
        <is>
          <t>134</t>
        </is>
      </c>
      <c r="J47" t="inlineStr">
        <is>
          <t>HL7 ValueSet expand (2026-06-09)</t>
        </is>
      </c>
      <c r="K47" t="inlineStr">
        <is>
          <t>false</t>
        </is>
      </c>
    </row>
    <row r="48">
      <c r="A48" t="inlineStr">
        <is>
          <t>Patient.race</t>
        </is>
      </c>
      <c r="B48" t="inlineStr">
        <is>
          <t>urn:oid:2.16.840.1.113883.6.238</t>
        </is>
      </c>
      <c r="C48" t="inlineStr">
        <is>
          <t>1045-4</t>
        </is>
      </c>
      <c r="D48" t="inlineStr">
        <is>
          <t>Agua Caliente Cahuilla</t>
        </is>
      </c>
      <c r="E48" t="inlineStr">
        <is>
          <t>detailed</t>
        </is>
      </c>
      <c r="F48" t="inlineStr">
        <is>
          <t>primary</t>
        </is>
      </c>
      <c r="G48" t="inlineStr">
        <is>
          <t>required</t>
        </is>
      </c>
      <c r="H48" t="inlineStr">
        <is>
          <t>true</t>
        </is>
      </c>
      <c r="I48" t="inlineStr">
        <is>
          <t>135</t>
        </is>
      </c>
      <c r="J48" t="inlineStr">
        <is>
          <t>HL7 ValueSet expand (2026-06-09)</t>
        </is>
      </c>
      <c r="K48" t="inlineStr">
        <is>
          <t>false</t>
        </is>
      </c>
    </row>
    <row r="49">
      <c r="A49" t="inlineStr">
        <is>
          <t>Patient.race</t>
        </is>
      </c>
      <c r="B49" t="inlineStr">
        <is>
          <t>urn:oid:2.16.840.1.113883.6.238</t>
        </is>
      </c>
      <c r="C49" t="inlineStr">
        <is>
          <t>1046-2</t>
        </is>
      </c>
      <c r="D49" t="inlineStr">
        <is>
          <t>Augustine</t>
        </is>
      </c>
      <c r="E49" t="inlineStr">
        <is>
          <t>detailed</t>
        </is>
      </c>
      <c r="F49" t="inlineStr">
        <is>
          <t>primary</t>
        </is>
      </c>
      <c r="G49" t="inlineStr">
        <is>
          <t>required</t>
        </is>
      </c>
      <c r="H49" t="inlineStr">
        <is>
          <t>true</t>
        </is>
      </c>
      <c r="I49" t="inlineStr">
        <is>
          <t>136</t>
        </is>
      </c>
      <c r="J49" t="inlineStr">
        <is>
          <t>HL7 ValueSet expand (2026-06-09)</t>
        </is>
      </c>
      <c r="K49" t="inlineStr">
        <is>
          <t>false</t>
        </is>
      </c>
    </row>
    <row r="50">
      <c r="A50" t="inlineStr">
        <is>
          <t>Patient.race</t>
        </is>
      </c>
      <c r="B50" t="inlineStr">
        <is>
          <t>urn:oid:2.16.840.1.113883.6.238</t>
        </is>
      </c>
      <c r="C50" t="inlineStr">
        <is>
          <t>1047-0</t>
        </is>
      </c>
      <c r="D50" t="inlineStr">
        <is>
          <t>Cabazon</t>
        </is>
      </c>
      <c r="E50" t="inlineStr">
        <is>
          <t>detailed</t>
        </is>
      </c>
      <c r="F50" t="inlineStr">
        <is>
          <t>primary</t>
        </is>
      </c>
      <c r="G50" t="inlineStr">
        <is>
          <t>required</t>
        </is>
      </c>
      <c r="H50" t="inlineStr">
        <is>
          <t>true</t>
        </is>
      </c>
      <c r="I50" t="inlineStr">
        <is>
          <t>137</t>
        </is>
      </c>
      <c r="J50" t="inlineStr">
        <is>
          <t>HL7 ValueSet expand (2026-06-09)</t>
        </is>
      </c>
      <c r="K50" t="inlineStr">
        <is>
          <t>false</t>
        </is>
      </c>
    </row>
    <row r="51">
      <c r="A51" t="inlineStr">
        <is>
          <t>Patient.race</t>
        </is>
      </c>
      <c r="B51" t="inlineStr">
        <is>
          <t>urn:oid:2.16.840.1.113883.6.238</t>
        </is>
      </c>
      <c r="C51" t="inlineStr">
        <is>
          <t>1048-8</t>
        </is>
      </c>
      <c r="D51" t="inlineStr">
        <is>
          <t>Los Coyotes</t>
        </is>
      </c>
      <c r="E51" t="inlineStr">
        <is>
          <t>detailed</t>
        </is>
      </c>
      <c r="F51" t="inlineStr">
        <is>
          <t>primary</t>
        </is>
      </c>
      <c r="G51" t="inlineStr">
        <is>
          <t>required</t>
        </is>
      </c>
      <c r="H51" t="inlineStr">
        <is>
          <t>true</t>
        </is>
      </c>
      <c r="I51" t="inlineStr">
        <is>
          <t>138</t>
        </is>
      </c>
      <c r="J51" t="inlineStr">
        <is>
          <t>HL7 ValueSet expand (2026-06-09)</t>
        </is>
      </c>
      <c r="K51" t="inlineStr">
        <is>
          <t>false</t>
        </is>
      </c>
    </row>
    <row r="52">
      <c r="A52" t="inlineStr">
        <is>
          <t>Patient.race</t>
        </is>
      </c>
      <c r="B52" t="inlineStr">
        <is>
          <t>urn:oid:2.16.840.1.113883.6.238</t>
        </is>
      </c>
      <c r="C52" t="inlineStr">
        <is>
          <t>1049-6</t>
        </is>
      </c>
      <c r="D52" t="inlineStr">
        <is>
          <t>Morongo</t>
        </is>
      </c>
      <c r="E52" t="inlineStr">
        <is>
          <t>detailed</t>
        </is>
      </c>
      <c r="F52" t="inlineStr">
        <is>
          <t>primary</t>
        </is>
      </c>
      <c r="G52" t="inlineStr">
        <is>
          <t>required</t>
        </is>
      </c>
      <c r="H52" t="inlineStr">
        <is>
          <t>true</t>
        </is>
      </c>
      <c r="I52" t="inlineStr">
        <is>
          <t>139</t>
        </is>
      </c>
      <c r="J52" t="inlineStr">
        <is>
          <t>HL7 ValueSet expand (2026-06-09)</t>
        </is>
      </c>
      <c r="K52" t="inlineStr">
        <is>
          <t>false</t>
        </is>
      </c>
    </row>
    <row r="53">
      <c r="A53" t="inlineStr">
        <is>
          <t>Patient.race</t>
        </is>
      </c>
      <c r="B53" t="inlineStr">
        <is>
          <t>urn:oid:2.16.840.1.113883.6.238</t>
        </is>
      </c>
      <c r="C53" t="inlineStr">
        <is>
          <t>1050-4</t>
        </is>
      </c>
      <c r="D53" t="inlineStr">
        <is>
          <t>Santa Rosa Cahuilla</t>
        </is>
      </c>
      <c r="E53" t="inlineStr">
        <is>
          <t>detailed</t>
        </is>
      </c>
      <c r="F53" t="inlineStr">
        <is>
          <t>primary</t>
        </is>
      </c>
      <c r="G53" t="inlineStr">
        <is>
          <t>required</t>
        </is>
      </c>
      <c r="H53" t="inlineStr">
        <is>
          <t>true</t>
        </is>
      </c>
      <c r="I53" t="inlineStr">
        <is>
          <t>140</t>
        </is>
      </c>
      <c r="J53" t="inlineStr">
        <is>
          <t>HL7 ValueSet expand (2026-06-09)</t>
        </is>
      </c>
      <c r="K53" t="inlineStr">
        <is>
          <t>false</t>
        </is>
      </c>
    </row>
    <row r="54">
      <c r="A54" t="inlineStr">
        <is>
          <t>Patient.race</t>
        </is>
      </c>
      <c r="B54" t="inlineStr">
        <is>
          <t>urn:oid:2.16.840.1.113883.6.238</t>
        </is>
      </c>
      <c r="C54" t="inlineStr">
        <is>
          <t>1051-2</t>
        </is>
      </c>
      <c r="D54" t="inlineStr">
        <is>
          <t>Torres-Martinez</t>
        </is>
      </c>
      <c r="E54" t="inlineStr">
        <is>
          <t>detailed</t>
        </is>
      </c>
      <c r="F54" t="inlineStr">
        <is>
          <t>primary</t>
        </is>
      </c>
      <c r="G54" t="inlineStr">
        <is>
          <t>required</t>
        </is>
      </c>
      <c r="H54" t="inlineStr">
        <is>
          <t>true</t>
        </is>
      </c>
      <c r="I54" t="inlineStr">
        <is>
          <t>141</t>
        </is>
      </c>
      <c r="J54" t="inlineStr">
        <is>
          <t>HL7 ValueSet expand (2026-06-09)</t>
        </is>
      </c>
      <c r="K54" t="inlineStr">
        <is>
          <t>false</t>
        </is>
      </c>
    </row>
    <row r="55">
      <c r="A55" t="inlineStr">
        <is>
          <t>Patient.race</t>
        </is>
      </c>
      <c r="B55" t="inlineStr">
        <is>
          <t>urn:oid:2.16.840.1.113883.6.238</t>
        </is>
      </c>
      <c r="C55" t="inlineStr">
        <is>
          <t>1053-8</t>
        </is>
      </c>
      <c r="D55" t="inlineStr">
        <is>
          <t>California Tribes</t>
        </is>
      </c>
      <c r="E55" t="inlineStr">
        <is>
          <t>detailed</t>
        </is>
      </c>
      <c r="F55" t="inlineStr">
        <is>
          <t>primary</t>
        </is>
      </c>
      <c r="G55" t="inlineStr">
        <is>
          <t>required</t>
        </is>
      </c>
      <c r="H55" t="inlineStr">
        <is>
          <t>true</t>
        </is>
      </c>
      <c r="I55" t="inlineStr">
        <is>
          <t>142</t>
        </is>
      </c>
      <c r="J55" t="inlineStr">
        <is>
          <t>HL7 ValueSet expand (2026-06-09)</t>
        </is>
      </c>
      <c r="K55" t="inlineStr">
        <is>
          <t>false</t>
        </is>
      </c>
    </row>
    <row r="56">
      <c r="A56" t="inlineStr">
        <is>
          <t>Patient.race</t>
        </is>
      </c>
      <c r="B56" t="inlineStr">
        <is>
          <t>urn:oid:2.16.840.1.113883.6.238</t>
        </is>
      </c>
      <c r="C56" t="inlineStr">
        <is>
          <t>1054-6</t>
        </is>
      </c>
      <c r="D56" t="inlineStr">
        <is>
          <t>Cahto</t>
        </is>
      </c>
      <c r="E56" t="inlineStr">
        <is>
          <t>detailed</t>
        </is>
      </c>
      <c r="F56" t="inlineStr">
        <is>
          <t>primary</t>
        </is>
      </c>
      <c r="G56" t="inlineStr">
        <is>
          <t>required</t>
        </is>
      </c>
      <c r="H56" t="inlineStr">
        <is>
          <t>true</t>
        </is>
      </c>
      <c r="I56" t="inlineStr">
        <is>
          <t>143</t>
        </is>
      </c>
      <c r="J56" t="inlineStr">
        <is>
          <t>HL7 ValueSet expand (2026-06-09)</t>
        </is>
      </c>
      <c r="K56" t="inlineStr">
        <is>
          <t>false</t>
        </is>
      </c>
    </row>
    <row r="57">
      <c r="A57" t="inlineStr">
        <is>
          <t>Patient.race</t>
        </is>
      </c>
      <c r="B57" t="inlineStr">
        <is>
          <t>urn:oid:2.16.840.1.113883.6.238</t>
        </is>
      </c>
      <c r="C57" t="inlineStr">
        <is>
          <t>1055-3</t>
        </is>
      </c>
      <c r="D57" t="inlineStr">
        <is>
          <t>Chimariko</t>
        </is>
      </c>
      <c r="E57" t="inlineStr">
        <is>
          <t>detailed</t>
        </is>
      </c>
      <c r="F57" t="inlineStr">
        <is>
          <t>primary</t>
        </is>
      </c>
      <c r="G57" t="inlineStr">
        <is>
          <t>required</t>
        </is>
      </c>
      <c r="H57" t="inlineStr">
        <is>
          <t>true</t>
        </is>
      </c>
      <c r="I57" t="inlineStr">
        <is>
          <t>144</t>
        </is>
      </c>
      <c r="J57" t="inlineStr">
        <is>
          <t>HL7 ValueSet expand (2026-06-09)</t>
        </is>
      </c>
      <c r="K57" t="inlineStr">
        <is>
          <t>false</t>
        </is>
      </c>
    </row>
    <row r="58">
      <c r="A58" t="inlineStr">
        <is>
          <t>Patient.race</t>
        </is>
      </c>
      <c r="B58" t="inlineStr">
        <is>
          <t>urn:oid:2.16.840.1.113883.6.238</t>
        </is>
      </c>
      <c r="C58" t="inlineStr">
        <is>
          <t>1056-1</t>
        </is>
      </c>
      <c r="D58" t="inlineStr">
        <is>
          <t>Coast Miwok</t>
        </is>
      </c>
      <c r="E58" t="inlineStr">
        <is>
          <t>detailed</t>
        </is>
      </c>
      <c r="F58" t="inlineStr">
        <is>
          <t>primary</t>
        </is>
      </c>
      <c r="G58" t="inlineStr">
        <is>
          <t>required</t>
        </is>
      </c>
      <c r="H58" t="inlineStr">
        <is>
          <t>true</t>
        </is>
      </c>
      <c r="I58" t="inlineStr">
        <is>
          <t>145</t>
        </is>
      </c>
      <c r="J58" t="inlineStr">
        <is>
          <t>HL7 ValueSet expand (2026-06-09)</t>
        </is>
      </c>
      <c r="K58" t="inlineStr">
        <is>
          <t>false</t>
        </is>
      </c>
    </row>
    <row r="59">
      <c r="A59" t="inlineStr">
        <is>
          <t>Patient.race</t>
        </is>
      </c>
      <c r="B59" t="inlineStr">
        <is>
          <t>urn:oid:2.16.840.1.113883.6.238</t>
        </is>
      </c>
      <c r="C59" t="inlineStr">
        <is>
          <t>1057-9</t>
        </is>
      </c>
      <c r="D59" t="inlineStr">
        <is>
          <t>Digger</t>
        </is>
      </c>
      <c r="E59" t="inlineStr">
        <is>
          <t>detailed</t>
        </is>
      </c>
      <c r="F59" t="inlineStr">
        <is>
          <t>primary</t>
        </is>
      </c>
      <c r="G59" t="inlineStr">
        <is>
          <t>required</t>
        </is>
      </c>
      <c r="H59" t="inlineStr">
        <is>
          <t>true</t>
        </is>
      </c>
      <c r="I59" t="inlineStr">
        <is>
          <t>146</t>
        </is>
      </c>
      <c r="J59" t="inlineStr">
        <is>
          <t>HL7 ValueSet expand (2026-06-09)</t>
        </is>
      </c>
      <c r="K59" t="inlineStr">
        <is>
          <t>false</t>
        </is>
      </c>
    </row>
    <row r="60">
      <c r="A60" t="inlineStr">
        <is>
          <t>Patient.race</t>
        </is>
      </c>
      <c r="B60" t="inlineStr">
        <is>
          <t>urn:oid:2.16.840.1.113883.6.238</t>
        </is>
      </c>
      <c r="C60" t="inlineStr">
        <is>
          <t>1058-7</t>
        </is>
      </c>
      <c r="D60" t="inlineStr">
        <is>
          <t>Kawaiisu</t>
        </is>
      </c>
      <c r="E60" t="inlineStr">
        <is>
          <t>detailed</t>
        </is>
      </c>
      <c r="F60" t="inlineStr">
        <is>
          <t>primary</t>
        </is>
      </c>
      <c r="G60" t="inlineStr">
        <is>
          <t>required</t>
        </is>
      </c>
      <c r="H60" t="inlineStr">
        <is>
          <t>true</t>
        </is>
      </c>
      <c r="I60" t="inlineStr">
        <is>
          <t>147</t>
        </is>
      </c>
      <c r="J60" t="inlineStr">
        <is>
          <t>HL7 ValueSet expand (2026-06-09)</t>
        </is>
      </c>
      <c r="K60" t="inlineStr">
        <is>
          <t>false</t>
        </is>
      </c>
    </row>
    <row r="61">
      <c r="A61" t="inlineStr">
        <is>
          <t>Patient.race</t>
        </is>
      </c>
      <c r="B61" t="inlineStr">
        <is>
          <t>urn:oid:2.16.840.1.113883.6.238</t>
        </is>
      </c>
      <c r="C61" t="inlineStr">
        <is>
          <t>1059-5</t>
        </is>
      </c>
      <c r="D61" t="inlineStr">
        <is>
          <t>Kern River</t>
        </is>
      </c>
      <c r="E61" t="inlineStr">
        <is>
          <t>detailed</t>
        </is>
      </c>
      <c r="F61" t="inlineStr">
        <is>
          <t>primary</t>
        </is>
      </c>
      <c r="G61" t="inlineStr">
        <is>
          <t>required</t>
        </is>
      </c>
      <c r="H61" t="inlineStr">
        <is>
          <t>true</t>
        </is>
      </c>
      <c r="I61" t="inlineStr">
        <is>
          <t>148</t>
        </is>
      </c>
      <c r="J61" t="inlineStr">
        <is>
          <t>HL7 ValueSet expand (2026-06-09)</t>
        </is>
      </c>
      <c r="K61" t="inlineStr">
        <is>
          <t>false</t>
        </is>
      </c>
    </row>
    <row r="62">
      <c r="A62" t="inlineStr">
        <is>
          <t>Patient.race</t>
        </is>
      </c>
      <c r="B62" t="inlineStr">
        <is>
          <t>urn:oid:2.16.840.1.113883.6.238</t>
        </is>
      </c>
      <c r="C62" t="inlineStr">
        <is>
          <t>1060-3</t>
        </is>
      </c>
      <c r="D62" t="inlineStr">
        <is>
          <t>Mattole</t>
        </is>
      </c>
      <c r="E62" t="inlineStr">
        <is>
          <t>detailed</t>
        </is>
      </c>
      <c r="F62" t="inlineStr">
        <is>
          <t>primary</t>
        </is>
      </c>
      <c r="G62" t="inlineStr">
        <is>
          <t>required</t>
        </is>
      </c>
      <c r="H62" t="inlineStr">
        <is>
          <t>true</t>
        </is>
      </c>
      <c r="I62" t="inlineStr">
        <is>
          <t>149</t>
        </is>
      </c>
      <c r="J62" t="inlineStr">
        <is>
          <t>HL7 ValueSet expand (2026-06-09)</t>
        </is>
      </c>
      <c r="K62" t="inlineStr">
        <is>
          <t>false</t>
        </is>
      </c>
    </row>
    <row r="63">
      <c r="A63" t="inlineStr">
        <is>
          <t>Patient.race</t>
        </is>
      </c>
      <c r="B63" t="inlineStr">
        <is>
          <t>urn:oid:2.16.840.1.113883.6.238</t>
        </is>
      </c>
      <c r="C63" t="inlineStr">
        <is>
          <t>1061-1</t>
        </is>
      </c>
      <c r="D63" t="inlineStr">
        <is>
          <t>Red Wood</t>
        </is>
      </c>
      <c r="E63" t="inlineStr">
        <is>
          <t>detailed</t>
        </is>
      </c>
      <c r="F63" t="inlineStr">
        <is>
          <t>primary</t>
        </is>
      </c>
      <c r="G63" t="inlineStr">
        <is>
          <t>required</t>
        </is>
      </c>
      <c r="H63" t="inlineStr">
        <is>
          <t>true</t>
        </is>
      </c>
      <c r="I63" t="inlineStr">
        <is>
          <t>150</t>
        </is>
      </c>
      <c r="J63" t="inlineStr">
        <is>
          <t>HL7 ValueSet expand (2026-06-09)</t>
        </is>
      </c>
      <c r="K63" t="inlineStr">
        <is>
          <t>false</t>
        </is>
      </c>
    </row>
    <row r="64">
      <c r="A64" t="inlineStr">
        <is>
          <t>Patient.race</t>
        </is>
      </c>
      <c r="B64" t="inlineStr">
        <is>
          <t>urn:oid:2.16.840.1.113883.6.238</t>
        </is>
      </c>
      <c r="C64" t="inlineStr">
        <is>
          <t>1062-9</t>
        </is>
      </c>
      <c r="D64" t="inlineStr">
        <is>
          <t>Santa Rosa</t>
        </is>
      </c>
      <c r="E64" t="inlineStr">
        <is>
          <t>detailed</t>
        </is>
      </c>
      <c r="F64" t="inlineStr">
        <is>
          <t>primary</t>
        </is>
      </c>
      <c r="G64" t="inlineStr">
        <is>
          <t>required</t>
        </is>
      </c>
      <c r="H64" t="inlineStr">
        <is>
          <t>true</t>
        </is>
      </c>
      <c r="I64" t="inlineStr">
        <is>
          <t>151</t>
        </is>
      </c>
      <c r="J64" t="inlineStr">
        <is>
          <t>HL7 ValueSet expand (2026-06-09)</t>
        </is>
      </c>
      <c r="K64" t="inlineStr">
        <is>
          <t>false</t>
        </is>
      </c>
    </row>
    <row r="65">
      <c r="A65" t="inlineStr">
        <is>
          <t>Patient.race</t>
        </is>
      </c>
      <c r="B65" t="inlineStr">
        <is>
          <t>urn:oid:2.16.840.1.113883.6.238</t>
        </is>
      </c>
      <c r="C65" t="inlineStr">
        <is>
          <t>1063-7</t>
        </is>
      </c>
      <c r="D65" t="inlineStr">
        <is>
          <t>Takelma</t>
        </is>
      </c>
      <c r="E65" t="inlineStr">
        <is>
          <t>detailed</t>
        </is>
      </c>
      <c r="F65" t="inlineStr">
        <is>
          <t>primary</t>
        </is>
      </c>
      <c r="G65" t="inlineStr">
        <is>
          <t>required</t>
        </is>
      </c>
      <c r="H65" t="inlineStr">
        <is>
          <t>true</t>
        </is>
      </c>
      <c r="I65" t="inlineStr">
        <is>
          <t>152</t>
        </is>
      </c>
      <c r="J65" t="inlineStr">
        <is>
          <t>HL7 ValueSet expand (2026-06-09)</t>
        </is>
      </c>
      <c r="K65" t="inlineStr">
        <is>
          <t>false</t>
        </is>
      </c>
    </row>
    <row r="66">
      <c r="A66" t="inlineStr">
        <is>
          <t>Patient.race</t>
        </is>
      </c>
      <c r="B66" t="inlineStr">
        <is>
          <t>urn:oid:2.16.840.1.113883.6.238</t>
        </is>
      </c>
      <c r="C66" t="inlineStr">
        <is>
          <t>1064-5</t>
        </is>
      </c>
      <c r="D66" t="inlineStr">
        <is>
          <t>Wappo</t>
        </is>
      </c>
      <c r="E66" t="inlineStr">
        <is>
          <t>detailed</t>
        </is>
      </c>
      <c r="F66" t="inlineStr">
        <is>
          <t>primary</t>
        </is>
      </c>
      <c r="G66" t="inlineStr">
        <is>
          <t>required</t>
        </is>
      </c>
      <c r="H66" t="inlineStr">
        <is>
          <t>true</t>
        </is>
      </c>
      <c r="I66" t="inlineStr">
        <is>
          <t>153</t>
        </is>
      </c>
      <c r="J66" t="inlineStr">
        <is>
          <t>HL7 ValueSet expand (2026-06-09)</t>
        </is>
      </c>
      <c r="K66" t="inlineStr">
        <is>
          <t>false</t>
        </is>
      </c>
    </row>
    <row r="67">
      <c r="A67" t="inlineStr">
        <is>
          <t>Patient.race</t>
        </is>
      </c>
      <c r="B67" t="inlineStr">
        <is>
          <t>urn:oid:2.16.840.1.113883.6.238</t>
        </is>
      </c>
      <c r="C67" t="inlineStr">
        <is>
          <t>1065-2</t>
        </is>
      </c>
      <c r="D67" t="inlineStr">
        <is>
          <t>Yana</t>
        </is>
      </c>
      <c r="E67" t="inlineStr">
        <is>
          <t>detailed</t>
        </is>
      </c>
      <c r="F67" t="inlineStr">
        <is>
          <t>primary</t>
        </is>
      </c>
      <c r="G67" t="inlineStr">
        <is>
          <t>required</t>
        </is>
      </c>
      <c r="H67" t="inlineStr">
        <is>
          <t>true</t>
        </is>
      </c>
      <c r="I67" t="inlineStr">
        <is>
          <t>154</t>
        </is>
      </c>
      <c r="J67" t="inlineStr">
        <is>
          <t>HL7 ValueSet expand (2026-06-09)</t>
        </is>
      </c>
      <c r="K67" t="inlineStr">
        <is>
          <t>false</t>
        </is>
      </c>
    </row>
    <row r="68">
      <c r="A68" t="inlineStr">
        <is>
          <t>Patient.race</t>
        </is>
      </c>
      <c r="B68" t="inlineStr">
        <is>
          <t>urn:oid:2.16.840.1.113883.6.238</t>
        </is>
      </c>
      <c r="C68" t="inlineStr">
        <is>
          <t>1066-0</t>
        </is>
      </c>
      <c r="D68" t="inlineStr">
        <is>
          <t>Yuki</t>
        </is>
      </c>
      <c r="E68" t="inlineStr">
        <is>
          <t>detailed</t>
        </is>
      </c>
      <c r="F68" t="inlineStr">
        <is>
          <t>primary</t>
        </is>
      </c>
      <c r="G68" t="inlineStr">
        <is>
          <t>required</t>
        </is>
      </c>
      <c r="H68" t="inlineStr">
        <is>
          <t>true</t>
        </is>
      </c>
      <c r="I68" t="inlineStr">
        <is>
          <t>155</t>
        </is>
      </c>
      <c r="J68" t="inlineStr">
        <is>
          <t>HL7 ValueSet expand (2026-06-09)</t>
        </is>
      </c>
      <c r="K68" t="inlineStr">
        <is>
          <t>false</t>
        </is>
      </c>
    </row>
    <row r="69">
      <c r="A69" t="inlineStr">
        <is>
          <t>Patient.race</t>
        </is>
      </c>
      <c r="B69" t="inlineStr">
        <is>
          <t>urn:oid:2.16.840.1.113883.6.238</t>
        </is>
      </c>
      <c r="C69" t="inlineStr">
        <is>
          <t>1068-6</t>
        </is>
      </c>
      <c r="D69" t="inlineStr">
        <is>
          <t>Canadian and Latin American Indian</t>
        </is>
      </c>
      <c r="E69" t="inlineStr">
        <is>
          <t>detailed</t>
        </is>
      </c>
      <c r="F69" t="inlineStr">
        <is>
          <t>primary</t>
        </is>
      </c>
      <c r="G69" t="inlineStr">
        <is>
          <t>required</t>
        </is>
      </c>
      <c r="H69" t="inlineStr">
        <is>
          <t>true</t>
        </is>
      </c>
      <c r="I69" t="inlineStr">
        <is>
          <t>156</t>
        </is>
      </c>
      <c r="J69" t="inlineStr">
        <is>
          <t>HL7 ValueSet expand (2026-06-09)</t>
        </is>
      </c>
      <c r="K69" t="inlineStr">
        <is>
          <t>false</t>
        </is>
      </c>
    </row>
    <row r="70">
      <c r="A70" t="inlineStr">
        <is>
          <t>Patient.race</t>
        </is>
      </c>
      <c r="B70" t="inlineStr">
        <is>
          <t>urn:oid:2.16.840.1.113883.6.238</t>
        </is>
      </c>
      <c r="C70" t="inlineStr">
        <is>
          <t>1069-4</t>
        </is>
      </c>
      <c r="D70" t="inlineStr">
        <is>
          <t>Canadian Indian</t>
        </is>
      </c>
      <c r="E70" t="inlineStr">
        <is>
          <t>detailed</t>
        </is>
      </c>
      <c r="F70" t="inlineStr">
        <is>
          <t>primary</t>
        </is>
      </c>
      <c r="G70" t="inlineStr">
        <is>
          <t>required</t>
        </is>
      </c>
      <c r="H70" t="inlineStr">
        <is>
          <t>true</t>
        </is>
      </c>
      <c r="I70" t="inlineStr">
        <is>
          <t>157</t>
        </is>
      </c>
      <c r="J70" t="inlineStr">
        <is>
          <t>HL7 ValueSet expand (2026-06-09)</t>
        </is>
      </c>
      <c r="K70" t="inlineStr">
        <is>
          <t>false</t>
        </is>
      </c>
    </row>
    <row r="71">
      <c r="A71" t="inlineStr">
        <is>
          <t>Patient.race</t>
        </is>
      </c>
      <c r="B71" t="inlineStr">
        <is>
          <t>urn:oid:2.16.840.1.113883.6.238</t>
        </is>
      </c>
      <c r="C71" t="inlineStr">
        <is>
          <t>1070-2</t>
        </is>
      </c>
      <c r="D71" t="inlineStr">
        <is>
          <t>Central American Indian</t>
        </is>
      </c>
      <c r="E71" t="inlineStr">
        <is>
          <t>detailed</t>
        </is>
      </c>
      <c r="F71" t="inlineStr">
        <is>
          <t>primary</t>
        </is>
      </c>
      <c r="G71" t="inlineStr">
        <is>
          <t>required</t>
        </is>
      </c>
      <c r="H71" t="inlineStr">
        <is>
          <t>true</t>
        </is>
      </c>
      <c r="I71" t="inlineStr">
        <is>
          <t>158</t>
        </is>
      </c>
      <c r="J71" t="inlineStr">
        <is>
          <t>HL7 ValueSet expand (2026-06-09)</t>
        </is>
      </c>
      <c r="K71" t="inlineStr">
        <is>
          <t>false</t>
        </is>
      </c>
    </row>
    <row r="72">
      <c r="A72" t="inlineStr">
        <is>
          <t>Patient.race</t>
        </is>
      </c>
      <c r="B72" t="inlineStr">
        <is>
          <t>urn:oid:2.16.840.1.113883.6.238</t>
        </is>
      </c>
      <c r="C72" t="inlineStr">
        <is>
          <t>1071-0</t>
        </is>
      </c>
      <c r="D72" t="inlineStr">
        <is>
          <t>French American Indian</t>
        </is>
      </c>
      <c r="E72" t="inlineStr">
        <is>
          <t>detailed</t>
        </is>
      </c>
      <c r="F72" t="inlineStr">
        <is>
          <t>primary</t>
        </is>
      </c>
      <c r="G72" t="inlineStr">
        <is>
          <t>required</t>
        </is>
      </c>
      <c r="H72" t="inlineStr">
        <is>
          <t>true</t>
        </is>
      </c>
      <c r="I72" t="inlineStr">
        <is>
          <t>159</t>
        </is>
      </c>
      <c r="J72" t="inlineStr">
        <is>
          <t>HL7 ValueSet expand (2026-06-09)</t>
        </is>
      </c>
      <c r="K72" t="inlineStr">
        <is>
          <t>false</t>
        </is>
      </c>
    </row>
    <row r="73">
      <c r="A73" t="inlineStr">
        <is>
          <t>Patient.race</t>
        </is>
      </c>
      <c r="B73" t="inlineStr">
        <is>
          <t>urn:oid:2.16.840.1.113883.6.238</t>
        </is>
      </c>
      <c r="C73" t="inlineStr">
        <is>
          <t>1072-8</t>
        </is>
      </c>
      <c r="D73" t="inlineStr">
        <is>
          <t>Mexican American Indian</t>
        </is>
      </c>
      <c r="E73" t="inlineStr">
        <is>
          <t>detailed</t>
        </is>
      </c>
      <c r="F73" t="inlineStr">
        <is>
          <t>primary</t>
        </is>
      </c>
      <c r="G73" t="inlineStr">
        <is>
          <t>required</t>
        </is>
      </c>
      <c r="H73" t="inlineStr">
        <is>
          <t>true</t>
        </is>
      </c>
      <c r="I73" t="inlineStr">
        <is>
          <t>160</t>
        </is>
      </c>
      <c r="J73" t="inlineStr">
        <is>
          <t>HL7 ValueSet expand (2026-06-09)</t>
        </is>
      </c>
      <c r="K73" t="inlineStr">
        <is>
          <t>false</t>
        </is>
      </c>
    </row>
    <row r="74">
      <c r="A74" t="inlineStr">
        <is>
          <t>Patient.race</t>
        </is>
      </c>
      <c r="B74" t="inlineStr">
        <is>
          <t>urn:oid:2.16.840.1.113883.6.238</t>
        </is>
      </c>
      <c r="C74" t="inlineStr">
        <is>
          <t>1073-6</t>
        </is>
      </c>
      <c r="D74" t="inlineStr">
        <is>
          <t>South American Indian</t>
        </is>
      </c>
      <c r="E74" t="inlineStr">
        <is>
          <t>detailed</t>
        </is>
      </c>
      <c r="F74" t="inlineStr">
        <is>
          <t>primary</t>
        </is>
      </c>
      <c r="G74" t="inlineStr">
        <is>
          <t>required</t>
        </is>
      </c>
      <c r="H74" t="inlineStr">
        <is>
          <t>true</t>
        </is>
      </c>
      <c r="I74" t="inlineStr">
        <is>
          <t>161</t>
        </is>
      </c>
      <c r="J74" t="inlineStr">
        <is>
          <t>HL7 ValueSet expand (2026-06-09)</t>
        </is>
      </c>
      <c r="K74" t="inlineStr">
        <is>
          <t>false</t>
        </is>
      </c>
    </row>
    <row r="75">
      <c r="A75" t="inlineStr">
        <is>
          <t>Patient.race</t>
        </is>
      </c>
      <c r="B75" t="inlineStr">
        <is>
          <t>urn:oid:2.16.840.1.113883.6.238</t>
        </is>
      </c>
      <c r="C75" t="inlineStr">
        <is>
          <t>1074-4</t>
        </is>
      </c>
      <c r="D75" t="inlineStr">
        <is>
          <t>Spanish American Indian</t>
        </is>
      </c>
      <c r="E75" t="inlineStr">
        <is>
          <t>detailed</t>
        </is>
      </c>
      <c r="F75" t="inlineStr">
        <is>
          <t>primary</t>
        </is>
      </c>
      <c r="G75" t="inlineStr">
        <is>
          <t>required</t>
        </is>
      </c>
      <c r="H75" t="inlineStr">
        <is>
          <t>true</t>
        </is>
      </c>
      <c r="I75" t="inlineStr">
        <is>
          <t>162</t>
        </is>
      </c>
      <c r="J75" t="inlineStr">
        <is>
          <t>HL7 ValueSet expand (2026-06-09)</t>
        </is>
      </c>
      <c r="K75" t="inlineStr">
        <is>
          <t>false</t>
        </is>
      </c>
    </row>
    <row r="76">
      <c r="A76" t="inlineStr">
        <is>
          <t>Patient.race</t>
        </is>
      </c>
      <c r="B76" t="inlineStr">
        <is>
          <t>urn:oid:2.16.840.1.113883.6.238</t>
        </is>
      </c>
      <c r="C76" t="inlineStr">
        <is>
          <t>1076-9</t>
        </is>
      </c>
      <c r="D76" t="inlineStr">
        <is>
          <t>Catawba</t>
        </is>
      </c>
      <c r="E76" t="inlineStr">
        <is>
          <t>detailed</t>
        </is>
      </c>
      <c r="F76" t="inlineStr">
        <is>
          <t>primary</t>
        </is>
      </c>
      <c r="G76" t="inlineStr">
        <is>
          <t>required</t>
        </is>
      </c>
      <c r="H76" t="inlineStr">
        <is>
          <t>true</t>
        </is>
      </c>
      <c r="I76" t="inlineStr">
        <is>
          <t>163</t>
        </is>
      </c>
      <c r="J76" t="inlineStr">
        <is>
          <t>HL7 ValueSet expand (2026-06-09)</t>
        </is>
      </c>
      <c r="K76" t="inlineStr">
        <is>
          <t>false</t>
        </is>
      </c>
    </row>
    <row r="77">
      <c r="A77" t="inlineStr">
        <is>
          <t>Patient.race</t>
        </is>
      </c>
      <c r="B77" t="inlineStr">
        <is>
          <t>urn:oid:2.16.840.1.113883.6.238</t>
        </is>
      </c>
      <c r="C77" t="inlineStr">
        <is>
          <t>1078-5</t>
        </is>
      </c>
      <c r="D77" t="inlineStr">
        <is>
          <t>Cayuse</t>
        </is>
      </c>
      <c r="E77" t="inlineStr">
        <is>
          <t>detailed</t>
        </is>
      </c>
      <c r="F77" t="inlineStr">
        <is>
          <t>primary</t>
        </is>
      </c>
      <c r="G77" t="inlineStr">
        <is>
          <t>required</t>
        </is>
      </c>
      <c r="H77" t="inlineStr">
        <is>
          <t>true</t>
        </is>
      </c>
      <c r="I77" t="inlineStr">
        <is>
          <t>164</t>
        </is>
      </c>
      <c r="J77" t="inlineStr">
        <is>
          <t>HL7 ValueSet expand (2026-06-09)</t>
        </is>
      </c>
      <c r="K77" t="inlineStr">
        <is>
          <t>false</t>
        </is>
      </c>
    </row>
    <row r="78">
      <c r="A78" t="inlineStr">
        <is>
          <t>Patient.race</t>
        </is>
      </c>
      <c r="B78" t="inlineStr">
        <is>
          <t>urn:oid:2.16.840.1.113883.6.238</t>
        </is>
      </c>
      <c r="C78" t="inlineStr">
        <is>
          <t>1080-1</t>
        </is>
      </c>
      <c r="D78" t="inlineStr">
        <is>
          <t>Chehalis</t>
        </is>
      </c>
      <c r="E78" t="inlineStr">
        <is>
          <t>detailed</t>
        </is>
      </c>
      <c r="F78" t="inlineStr">
        <is>
          <t>primary</t>
        </is>
      </c>
      <c r="G78" t="inlineStr">
        <is>
          <t>required</t>
        </is>
      </c>
      <c r="H78" t="inlineStr">
        <is>
          <t>true</t>
        </is>
      </c>
      <c r="I78" t="inlineStr">
        <is>
          <t>165</t>
        </is>
      </c>
      <c r="J78" t="inlineStr">
        <is>
          <t>HL7 ValueSet expand (2026-06-09)</t>
        </is>
      </c>
      <c r="K78" t="inlineStr">
        <is>
          <t>false</t>
        </is>
      </c>
    </row>
    <row r="79">
      <c r="A79" t="inlineStr">
        <is>
          <t>Patient.race</t>
        </is>
      </c>
      <c r="B79" t="inlineStr">
        <is>
          <t>urn:oid:2.16.840.1.113883.6.238</t>
        </is>
      </c>
      <c r="C79" t="inlineStr">
        <is>
          <t>1082-7</t>
        </is>
      </c>
      <c r="D79" t="inlineStr">
        <is>
          <t>Chemakuan</t>
        </is>
      </c>
      <c r="E79" t="inlineStr">
        <is>
          <t>detailed</t>
        </is>
      </c>
      <c r="F79" t="inlineStr">
        <is>
          <t>primary</t>
        </is>
      </c>
      <c r="G79" t="inlineStr">
        <is>
          <t>required</t>
        </is>
      </c>
      <c r="H79" t="inlineStr">
        <is>
          <t>true</t>
        </is>
      </c>
      <c r="I79" t="inlineStr">
        <is>
          <t>166</t>
        </is>
      </c>
      <c r="J79" t="inlineStr">
        <is>
          <t>HL7 ValueSet expand (2026-06-09)</t>
        </is>
      </c>
      <c r="K79" t="inlineStr">
        <is>
          <t>false</t>
        </is>
      </c>
    </row>
    <row r="80">
      <c r="A80" t="inlineStr">
        <is>
          <t>Patient.race</t>
        </is>
      </c>
      <c r="B80" t="inlineStr">
        <is>
          <t>urn:oid:2.16.840.1.113883.6.238</t>
        </is>
      </c>
      <c r="C80" t="inlineStr">
        <is>
          <t>1083-5</t>
        </is>
      </c>
      <c r="D80" t="inlineStr">
        <is>
          <t>Hoh</t>
        </is>
      </c>
      <c r="E80" t="inlineStr">
        <is>
          <t>detailed</t>
        </is>
      </c>
      <c r="F80" t="inlineStr">
        <is>
          <t>primary</t>
        </is>
      </c>
      <c r="G80" t="inlineStr">
        <is>
          <t>required</t>
        </is>
      </c>
      <c r="H80" t="inlineStr">
        <is>
          <t>true</t>
        </is>
      </c>
      <c r="I80" t="inlineStr">
        <is>
          <t>167</t>
        </is>
      </c>
      <c r="J80" t="inlineStr">
        <is>
          <t>HL7 ValueSet expand (2026-06-09)</t>
        </is>
      </c>
      <c r="K80" t="inlineStr">
        <is>
          <t>false</t>
        </is>
      </c>
    </row>
    <row r="81">
      <c r="A81" t="inlineStr">
        <is>
          <t>Patient.race</t>
        </is>
      </c>
      <c r="B81" t="inlineStr">
        <is>
          <t>urn:oid:2.16.840.1.113883.6.238</t>
        </is>
      </c>
      <c r="C81" t="inlineStr">
        <is>
          <t>1084-3</t>
        </is>
      </c>
      <c r="D81" t="inlineStr">
        <is>
          <t>Quileute</t>
        </is>
      </c>
      <c r="E81" t="inlineStr">
        <is>
          <t>detailed</t>
        </is>
      </c>
      <c r="F81" t="inlineStr">
        <is>
          <t>primary</t>
        </is>
      </c>
      <c r="G81" t="inlineStr">
        <is>
          <t>required</t>
        </is>
      </c>
      <c r="H81" t="inlineStr">
        <is>
          <t>true</t>
        </is>
      </c>
      <c r="I81" t="inlineStr">
        <is>
          <t>168</t>
        </is>
      </c>
      <c r="J81" t="inlineStr">
        <is>
          <t>HL7 ValueSet expand (2026-06-09)</t>
        </is>
      </c>
      <c r="K81" t="inlineStr">
        <is>
          <t>false</t>
        </is>
      </c>
    </row>
    <row r="82">
      <c r="A82" t="inlineStr">
        <is>
          <t>Patient.race</t>
        </is>
      </c>
      <c r="B82" t="inlineStr">
        <is>
          <t>urn:oid:2.16.840.1.113883.6.238</t>
        </is>
      </c>
      <c r="C82" t="inlineStr">
        <is>
          <t>1086-8</t>
        </is>
      </c>
      <c r="D82" t="inlineStr">
        <is>
          <t>Chemehuevi</t>
        </is>
      </c>
      <c r="E82" t="inlineStr">
        <is>
          <t>detailed</t>
        </is>
      </c>
      <c r="F82" t="inlineStr">
        <is>
          <t>primary</t>
        </is>
      </c>
      <c r="G82" t="inlineStr">
        <is>
          <t>required</t>
        </is>
      </c>
      <c r="H82" t="inlineStr">
        <is>
          <t>true</t>
        </is>
      </c>
      <c r="I82" t="inlineStr">
        <is>
          <t>169</t>
        </is>
      </c>
      <c r="J82" t="inlineStr">
        <is>
          <t>HL7 ValueSet expand (2026-06-09)</t>
        </is>
      </c>
      <c r="K82" t="inlineStr">
        <is>
          <t>false</t>
        </is>
      </c>
    </row>
    <row r="83">
      <c r="A83" t="inlineStr">
        <is>
          <t>Patient.race</t>
        </is>
      </c>
      <c r="B83" t="inlineStr">
        <is>
          <t>urn:oid:2.16.840.1.113883.6.238</t>
        </is>
      </c>
      <c r="C83" t="inlineStr">
        <is>
          <t>1088-4</t>
        </is>
      </c>
      <c r="D83" t="inlineStr">
        <is>
          <t>Cherokee</t>
        </is>
      </c>
      <c r="E83" t="inlineStr">
        <is>
          <t>detailed</t>
        </is>
      </c>
      <c r="F83" t="inlineStr">
        <is>
          <t>primary</t>
        </is>
      </c>
      <c r="G83" t="inlineStr">
        <is>
          <t>required</t>
        </is>
      </c>
      <c r="H83" t="inlineStr">
        <is>
          <t>true</t>
        </is>
      </c>
      <c r="I83" t="inlineStr">
        <is>
          <t>170</t>
        </is>
      </c>
      <c r="J83" t="inlineStr">
        <is>
          <t>HL7 ValueSet expand (2026-06-09)</t>
        </is>
      </c>
      <c r="K83" t="inlineStr">
        <is>
          <t>false</t>
        </is>
      </c>
    </row>
    <row r="84">
      <c r="A84" t="inlineStr">
        <is>
          <t>Patient.race</t>
        </is>
      </c>
      <c r="B84" t="inlineStr">
        <is>
          <t>urn:oid:2.16.840.1.113883.6.238</t>
        </is>
      </c>
      <c r="C84" t="inlineStr">
        <is>
          <t>1089-2</t>
        </is>
      </c>
      <c r="D84" t="inlineStr">
        <is>
          <t>Cherokee Alabama</t>
        </is>
      </c>
      <c r="E84" t="inlineStr">
        <is>
          <t>detailed</t>
        </is>
      </c>
      <c r="F84" t="inlineStr">
        <is>
          <t>primary</t>
        </is>
      </c>
      <c r="G84" t="inlineStr">
        <is>
          <t>required</t>
        </is>
      </c>
      <c r="H84" t="inlineStr">
        <is>
          <t>true</t>
        </is>
      </c>
      <c r="I84" t="inlineStr">
        <is>
          <t>171</t>
        </is>
      </c>
      <c r="J84" t="inlineStr">
        <is>
          <t>HL7 ValueSet expand (2026-06-09)</t>
        </is>
      </c>
      <c r="K84" t="inlineStr">
        <is>
          <t>false</t>
        </is>
      </c>
    </row>
    <row r="85">
      <c r="A85" t="inlineStr">
        <is>
          <t>Patient.race</t>
        </is>
      </c>
      <c r="B85" t="inlineStr">
        <is>
          <t>urn:oid:2.16.840.1.113883.6.238</t>
        </is>
      </c>
      <c r="C85" t="inlineStr">
        <is>
          <t>1090-0</t>
        </is>
      </c>
      <c r="D85" t="inlineStr">
        <is>
          <t>Cherokees of Northeast Alabama</t>
        </is>
      </c>
      <c r="E85" t="inlineStr">
        <is>
          <t>detailed</t>
        </is>
      </c>
      <c r="F85" t="inlineStr">
        <is>
          <t>primary</t>
        </is>
      </c>
      <c r="G85" t="inlineStr">
        <is>
          <t>required</t>
        </is>
      </c>
      <c r="H85" t="inlineStr">
        <is>
          <t>true</t>
        </is>
      </c>
      <c r="I85" t="inlineStr">
        <is>
          <t>172</t>
        </is>
      </c>
      <c r="J85" t="inlineStr">
        <is>
          <t>HL7 ValueSet expand (2026-06-09)</t>
        </is>
      </c>
      <c r="K85" t="inlineStr">
        <is>
          <t>false</t>
        </is>
      </c>
    </row>
    <row r="86">
      <c r="A86" t="inlineStr">
        <is>
          <t>Patient.race</t>
        </is>
      </c>
      <c r="B86" t="inlineStr">
        <is>
          <t>urn:oid:2.16.840.1.113883.6.238</t>
        </is>
      </c>
      <c r="C86" t="inlineStr">
        <is>
          <t>1091-8</t>
        </is>
      </c>
      <c r="D86" t="inlineStr">
        <is>
          <t>Cherokees of Southeast Alabama</t>
        </is>
      </c>
      <c r="E86" t="inlineStr">
        <is>
          <t>detailed</t>
        </is>
      </c>
      <c r="F86" t="inlineStr">
        <is>
          <t>primary</t>
        </is>
      </c>
      <c r="G86" t="inlineStr">
        <is>
          <t>required</t>
        </is>
      </c>
      <c r="H86" t="inlineStr">
        <is>
          <t>true</t>
        </is>
      </c>
      <c r="I86" t="inlineStr">
        <is>
          <t>173</t>
        </is>
      </c>
      <c r="J86" t="inlineStr">
        <is>
          <t>HL7 ValueSet expand (2026-06-09)</t>
        </is>
      </c>
      <c r="K86" t="inlineStr">
        <is>
          <t>false</t>
        </is>
      </c>
    </row>
    <row r="87">
      <c r="A87" t="inlineStr">
        <is>
          <t>Patient.race</t>
        </is>
      </c>
      <c r="B87" t="inlineStr">
        <is>
          <t>urn:oid:2.16.840.1.113883.6.238</t>
        </is>
      </c>
      <c r="C87" t="inlineStr">
        <is>
          <t>1092-6</t>
        </is>
      </c>
      <c r="D87" t="inlineStr">
        <is>
          <t>Eastern Cherokee</t>
        </is>
      </c>
      <c r="E87" t="inlineStr">
        <is>
          <t>detailed</t>
        </is>
      </c>
      <c r="F87" t="inlineStr">
        <is>
          <t>primary</t>
        </is>
      </c>
      <c r="G87" t="inlineStr">
        <is>
          <t>required</t>
        </is>
      </c>
      <c r="H87" t="inlineStr">
        <is>
          <t>true</t>
        </is>
      </c>
      <c r="I87" t="inlineStr">
        <is>
          <t>174</t>
        </is>
      </c>
      <c r="J87" t="inlineStr">
        <is>
          <t>HL7 ValueSet expand (2026-06-09)</t>
        </is>
      </c>
      <c r="K87" t="inlineStr">
        <is>
          <t>false</t>
        </is>
      </c>
    </row>
    <row r="88">
      <c r="A88" t="inlineStr">
        <is>
          <t>Patient.race</t>
        </is>
      </c>
      <c r="B88" t="inlineStr">
        <is>
          <t>urn:oid:2.16.840.1.113883.6.238</t>
        </is>
      </c>
      <c r="C88" t="inlineStr">
        <is>
          <t>1093-4</t>
        </is>
      </c>
      <c r="D88" t="inlineStr">
        <is>
          <t>Echota Cherokee</t>
        </is>
      </c>
      <c r="E88" t="inlineStr">
        <is>
          <t>detailed</t>
        </is>
      </c>
      <c r="F88" t="inlineStr">
        <is>
          <t>primary</t>
        </is>
      </c>
      <c r="G88" t="inlineStr">
        <is>
          <t>required</t>
        </is>
      </c>
      <c r="H88" t="inlineStr">
        <is>
          <t>true</t>
        </is>
      </c>
      <c r="I88" t="inlineStr">
        <is>
          <t>175</t>
        </is>
      </c>
      <c r="J88" t="inlineStr">
        <is>
          <t>HL7 ValueSet expand (2026-06-09)</t>
        </is>
      </c>
      <c r="K88" t="inlineStr">
        <is>
          <t>false</t>
        </is>
      </c>
    </row>
    <row r="89">
      <c r="A89" t="inlineStr">
        <is>
          <t>Patient.race</t>
        </is>
      </c>
      <c r="B89" t="inlineStr">
        <is>
          <t>urn:oid:2.16.840.1.113883.6.238</t>
        </is>
      </c>
      <c r="C89" t="inlineStr">
        <is>
          <t>1094-2</t>
        </is>
      </c>
      <c r="D89" t="inlineStr">
        <is>
          <t>Etowah Cherokee</t>
        </is>
      </c>
      <c r="E89" t="inlineStr">
        <is>
          <t>detailed</t>
        </is>
      </c>
      <c r="F89" t="inlineStr">
        <is>
          <t>primary</t>
        </is>
      </c>
      <c r="G89" t="inlineStr">
        <is>
          <t>required</t>
        </is>
      </c>
      <c r="H89" t="inlineStr">
        <is>
          <t>true</t>
        </is>
      </c>
      <c r="I89" t="inlineStr">
        <is>
          <t>176</t>
        </is>
      </c>
      <c r="J89" t="inlineStr">
        <is>
          <t>HL7 ValueSet expand (2026-06-09)</t>
        </is>
      </c>
      <c r="K89" t="inlineStr">
        <is>
          <t>false</t>
        </is>
      </c>
    </row>
    <row r="90">
      <c r="A90" t="inlineStr">
        <is>
          <t>Patient.race</t>
        </is>
      </c>
      <c r="B90" t="inlineStr">
        <is>
          <t>urn:oid:2.16.840.1.113883.6.238</t>
        </is>
      </c>
      <c r="C90" t="inlineStr">
        <is>
          <t>1095-9</t>
        </is>
      </c>
      <c r="D90" t="inlineStr">
        <is>
          <t>Northern Cherokee</t>
        </is>
      </c>
      <c r="E90" t="inlineStr">
        <is>
          <t>detailed</t>
        </is>
      </c>
      <c r="F90" t="inlineStr">
        <is>
          <t>primary</t>
        </is>
      </c>
      <c r="G90" t="inlineStr">
        <is>
          <t>required</t>
        </is>
      </c>
      <c r="H90" t="inlineStr">
        <is>
          <t>true</t>
        </is>
      </c>
      <c r="I90" t="inlineStr">
        <is>
          <t>177</t>
        </is>
      </c>
      <c r="J90" t="inlineStr">
        <is>
          <t>HL7 ValueSet expand (2026-06-09)</t>
        </is>
      </c>
      <c r="K90" t="inlineStr">
        <is>
          <t>false</t>
        </is>
      </c>
    </row>
    <row r="91">
      <c r="A91" t="inlineStr">
        <is>
          <t>Patient.race</t>
        </is>
      </c>
      <c r="B91" t="inlineStr">
        <is>
          <t>urn:oid:2.16.840.1.113883.6.238</t>
        </is>
      </c>
      <c r="C91" t="inlineStr">
        <is>
          <t>1096-7</t>
        </is>
      </c>
      <c r="D91" t="inlineStr">
        <is>
          <t>Tuscola</t>
        </is>
      </c>
      <c r="E91" t="inlineStr">
        <is>
          <t>detailed</t>
        </is>
      </c>
      <c r="F91" t="inlineStr">
        <is>
          <t>primary</t>
        </is>
      </c>
      <c r="G91" t="inlineStr">
        <is>
          <t>required</t>
        </is>
      </c>
      <c r="H91" t="inlineStr">
        <is>
          <t>true</t>
        </is>
      </c>
      <c r="I91" t="inlineStr">
        <is>
          <t>178</t>
        </is>
      </c>
      <c r="J91" t="inlineStr">
        <is>
          <t>HL7 ValueSet expand (2026-06-09)</t>
        </is>
      </c>
      <c r="K91" t="inlineStr">
        <is>
          <t>false</t>
        </is>
      </c>
    </row>
    <row r="92">
      <c r="A92" t="inlineStr">
        <is>
          <t>Patient.race</t>
        </is>
      </c>
      <c r="B92" t="inlineStr">
        <is>
          <t>urn:oid:2.16.840.1.113883.6.238</t>
        </is>
      </c>
      <c r="C92" t="inlineStr">
        <is>
          <t>1097-5</t>
        </is>
      </c>
      <c r="D92" t="inlineStr">
        <is>
          <t>United Keetowah Band of Cherokee</t>
        </is>
      </c>
      <c r="E92" t="inlineStr">
        <is>
          <t>detailed</t>
        </is>
      </c>
      <c r="F92" t="inlineStr">
        <is>
          <t>primary</t>
        </is>
      </c>
      <c r="G92" t="inlineStr">
        <is>
          <t>required</t>
        </is>
      </c>
      <c r="H92" t="inlineStr">
        <is>
          <t>true</t>
        </is>
      </c>
      <c r="I92" t="inlineStr">
        <is>
          <t>179</t>
        </is>
      </c>
      <c r="J92" t="inlineStr">
        <is>
          <t>HL7 ValueSet expand (2026-06-09)</t>
        </is>
      </c>
      <c r="K92" t="inlineStr">
        <is>
          <t>false</t>
        </is>
      </c>
    </row>
    <row r="93">
      <c r="A93" t="inlineStr">
        <is>
          <t>Patient.race</t>
        </is>
      </c>
      <c r="B93" t="inlineStr">
        <is>
          <t>urn:oid:2.16.840.1.113883.6.238</t>
        </is>
      </c>
      <c r="C93" t="inlineStr">
        <is>
          <t>1098-3</t>
        </is>
      </c>
      <c r="D93" t="inlineStr">
        <is>
          <t>Western Cherokee</t>
        </is>
      </c>
      <c r="E93" t="inlineStr">
        <is>
          <t>detailed</t>
        </is>
      </c>
      <c r="F93" t="inlineStr">
        <is>
          <t>primary</t>
        </is>
      </c>
      <c r="G93" t="inlineStr">
        <is>
          <t>required</t>
        </is>
      </c>
      <c r="H93" t="inlineStr">
        <is>
          <t>true</t>
        </is>
      </c>
      <c r="I93" t="inlineStr">
        <is>
          <t>180</t>
        </is>
      </c>
      <c r="J93" t="inlineStr">
        <is>
          <t>HL7 ValueSet expand (2026-06-09)</t>
        </is>
      </c>
      <c r="K93" t="inlineStr">
        <is>
          <t>false</t>
        </is>
      </c>
    </row>
    <row r="94">
      <c r="A94" t="inlineStr">
        <is>
          <t>Patient.race</t>
        </is>
      </c>
      <c r="B94" t="inlineStr">
        <is>
          <t>urn:oid:2.16.840.1.113883.6.238</t>
        </is>
      </c>
      <c r="C94" t="inlineStr">
        <is>
          <t>1100-7</t>
        </is>
      </c>
      <c r="D94" t="inlineStr">
        <is>
          <t>Cherokee Shawnee</t>
        </is>
      </c>
      <c r="E94" t="inlineStr">
        <is>
          <t>detailed</t>
        </is>
      </c>
      <c r="F94" t="inlineStr">
        <is>
          <t>primary</t>
        </is>
      </c>
      <c r="G94" t="inlineStr">
        <is>
          <t>required</t>
        </is>
      </c>
      <c r="H94" t="inlineStr">
        <is>
          <t>true</t>
        </is>
      </c>
      <c r="I94" t="inlineStr">
        <is>
          <t>181</t>
        </is>
      </c>
      <c r="J94" t="inlineStr">
        <is>
          <t>HL7 ValueSet expand (2026-06-09)</t>
        </is>
      </c>
      <c r="K94" t="inlineStr">
        <is>
          <t>false</t>
        </is>
      </c>
    </row>
    <row r="95">
      <c r="A95" t="inlineStr">
        <is>
          <t>Patient.race</t>
        </is>
      </c>
      <c r="B95" t="inlineStr">
        <is>
          <t>urn:oid:2.16.840.1.113883.6.238</t>
        </is>
      </c>
      <c r="C95" t="inlineStr">
        <is>
          <t>1102-3</t>
        </is>
      </c>
      <c r="D95" t="inlineStr">
        <is>
          <t>Cheyenne</t>
        </is>
      </c>
      <c r="E95" t="inlineStr">
        <is>
          <t>detailed</t>
        </is>
      </c>
      <c r="F95" t="inlineStr">
        <is>
          <t>primary</t>
        </is>
      </c>
      <c r="G95" t="inlineStr">
        <is>
          <t>required</t>
        </is>
      </c>
      <c r="H95" t="inlineStr">
        <is>
          <t>true</t>
        </is>
      </c>
      <c r="I95" t="inlineStr">
        <is>
          <t>182</t>
        </is>
      </c>
      <c r="J95" t="inlineStr">
        <is>
          <t>HL7 ValueSet expand (2026-06-09)</t>
        </is>
      </c>
      <c r="K95" t="inlineStr">
        <is>
          <t>false</t>
        </is>
      </c>
    </row>
    <row r="96">
      <c r="A96" t="inlineStr">
        <is>
          <t>Patient.race</t>
        </is>
      </c>
      <c r="B96" t="inlineStr">
        <is>
          <t>urn:oid:2.16.840.1.113883.6.238</t>
        </is>
      </c>
      <c r="C96" t="inlineStr">
        <is>
          <t>1103-1</t>
        </is>
      </c>
      <c r="D96" t="inlineStr">
        <is>
          <t>Northern Cheyenne</t>
        </is>
      </c>
      <c r="E96" t="inlineStr">
        <is>
          <t>detailed</t>
        </is>
      </c>
      <c r="F96" t="inlineStr">
        <is>
          <t>primary</t>
        </is>
      </c>
      <c r="G96" t="inlineStr">
        <is>
          <t>required</t>
        </is>
      </c>
      <c r="H96" t="inlineStr">
        <is>
          <t>true</t>
        </is>
      </c>
      <c r="I96" t="inlineStr">
        <is>
          <t>183</t>
        </is>
      </c>
      <c r="J96" t="inlineStr">
        <is>
          <t>HL7 ValueSet expand (2026-06-09)</t>
        </is>
      </c>
      <c r="K96" t="inlineStr">
        <is>
          <t>false</t>
        </is>
      </c>
    </row>
    <row r="97">
      <c r="A97" t="inlineStr">
        <is>
          <t>Patient.race</t>
        </is>
      </c>
      <c r="B97" t="inlineStr">
        <is>
          <t>urn:oid:2.16.840.1.113883.6.238</t>
        </is>
      </c>
      <c r="C97" t="inlineStr">
        <is>
          <t>1104-9</t>
        </is>
      </c>
      <c r="D97" t="inlineStr">
        <is>
          <t>Southern Cheyenne</t>
        </is>
      </c>
      <c r="E97" t="inlineStr">
        <is>
          <t>detailed</t>
        </is>
      </c>
      <c r="F97" t="inlineStr">
        <is>
          <t>primary</t>
        </is>
      </c>
      <c r="G97" t="inlineStr">
        <is>
          <t>required</t>
        </is>
      </c>
      <c r="H97" t="inlineStr">
        <is>
          <t>true</t>
        </is>
      </c>
      <c r="I97" t="inlineStr">
        <is>
          <t>184</t>
        </is>
      </c>
      <c r="J97" t="inlineStr">
        <is>
          <t>HL7 ValueSet expand (2026-06-09)</t>
        </is>
      </c>
      <c r="K97" t="inlineStr">
        <is>
          <t>false</t>
        </is>
      </c>
    </row>
    <row r="98">
      <c r="A98" t="inlineStr">
        <is>
          <t>Patient.race</t>
        </is>
      </c>
      <c r="B98" t="inlineStr">
        <is>
          <t>urn:oid:2.16.840.1.113883.6.238</t>
        </is>
      </c>
      <c r="C98" t="inlineStr">
        <is>
          <t>1106-4</t>
        </is>
      </c>
      <c r="D98" t="inlineStr">
        <is>
          <t>Cheyenne-Arapaho</t>
        </is>
      </c>
      <c r="E98" t="inlineStr">
        <is>
          <t>detailed</t>
        </is>
      </c>
      <c r="F98" t="inlineStr">
        <is>
          <t>primary</t>
        </is>
      </c>
      <c r="G98" t="inlineStr">
        <is>
          <t>required</t>
        </is>
      </c>
      <c r="H98" t="inlineStr">
        <is>
          <t>true</t>
        </is>
      </c>
      <c r="I98" t="inlineStr">
        <is>
          <t>185</t>
        </is>
      </c>
      <c r="J98" t="inlineStr">
        <is>
          <t>HL7 ValueSet expand (2026-06-09)</t>
        </is>
      </c>
      <c r="K98" t="inlineStr">
        <is>
          <t>false</t>
        </is>
      </c>
    </row>
    <row r="99">
      <c r="A99" t="inlineStr">
        <is>
          <t>Patient.race</t>
        </is>
      </c>
      <c r="B99" t="inlineStr">
        <is>
          <t>urn:oid:2.16.840.1.113883.6.238</t>
        </is>
      </c>
      <c r="C99" t="inlineStr">
        <is>
          <t>1108-0</t>
        </is>
      </c>
      <c r="D99" t="inlineStr">
        <is>
          <t>Chickahominy</t>
        </is>
      </c>
      <c r="E99" t="inlineStr">
        <is>
          <t>detailed</t>
        </is>
      </c>
      <c r="F99" t="inlineStr">
        <is>
          <t>primary</t>
        </is>
      </c>
      <c r="G99" t="inlineStr">
        <is>
          <t>required</t>
        </is>
      </c>
      <c r="H99" t="inlineStr">
        <is>
          <t>true</t>
        </is>
      </c>
      <c r="I99" t="inlineStr">
        <is>
          <t>186</t>
        </is>
      </c>
      <c r="J99" t="inlineStr">
        <is>
          <t>HL7 ValueSet expand (2026-06-09)</t>
        </is>
      </c>
      <c r="K99" t="inlineStr">
        <is>
          <t>false</t>
        </is>
      </c>
    </row>
    <row r="100">
      <c r="A100" t="inlineStr">
        <is>
          <t>Patient.race</t>
        </is>
      </c>
      <c r="B100" t="inlineStr">
        <is>
          <t>urn:oid:2.16.840.1.113883.6.238</t>
        </is>
      </c>
      <c r="C100" t="inlineStr">
        <is>
          <t>1109-8</t>
        </is>
      </c>
      <c r="D100" t="inlineStr">
        <is>
          <t>Eastern Chickahominy</t>
        </is>
      </c>
      <c r="E100" t="inlineStr">
        <is>
          <t>detailed</t>
        </is>
      </c>
      <c r="F100" t="inlineStr">
        <is>
          <t>primary</t>
        </is>
      </c>
      <c r="G100" t="inlineStr">
        <is>
          <t>required</t>
        </is>
      </c>
      <c r="H100" t="inlineStr">
        <is>
          <t>true</t>
        </is>
      </c>
      <c r="I100" t="inlineStr">
        <is>
          <t>187</t>
        </is>
      </c>
      <c r="J100" t="inlineStr">
        <is>
          <t>HL7 ValueSet expand (2026-06-09)</t>
        </is>
      </c>
      <c r="K100" t="inlineStr">
        <is>
          <t>false</t>
        </is>
      </c>
    </row>
    <row r="101">
      <c r="A101" t="inlineStr">
        <is>
          <t>Patient.race</t>
        </is>
      </c>
      <c r="B101" t="inlineStr">
        <is>
          <t>urn:oid:2.16.840.1.113883.6.238</t>
        </is>
      </c>
      <c r="C101" t="inlineStr">
        <is>
          <t>1110-6</t>
        </is>
      </c>
      <c r="D101" t="inlineStr">
        <is>
          <t>Western Chickahominy</t>
        </is>
      </c>
      <c r="E101" t="inlineStr">
        <is>
          <t>detailed</t>
        </is>
      </c>
      <c r="F101" t="inlineStr">
        <is>
          <t>primary</t>
        </is>
      </c>
      <c r="G101" t="inlineStr">
        <is>
          <t>required</t>
        </is>
      </c>
      <c r="H101" t="inlineStr">
        <is>
          <t>true</t>
        </is>
      </c>
      <c r="I101" t="inlineStr">
        <is>
          <t>188</t>
        </is>
      </c>
      <c r="J101" t="inlineStr">
        <is>
          <t>HL7 ValueSet expand (2026-06-09)</t>
        </is>
      </c>
      <c r="K101" t="inlineStr">
        <is>
          <t>false</t>
        </is>
      </c>
    </row>
    <row r="102">
      <c r="A102" t="inlineStr">
        <is>
          <t>Patient.race</t>
        </is>
      </c>
      <c r="B102" t="inlineStr">
        <is>
          <t>urn:oid:2.16.840.1.113883.6.238</t>
        </is>
      </c>
      <c r="C102" t="inlineStr">
        <is>
          <t>1112-2</t>
        </is>
      </c>
      <c r="D102" t="inlineStr">
        <is>
          <t>Chickasaw</t>
        </is>
      </c>
      <c r="E102" t="inlineStr">
        <is>
          <t>detailed</t>
        </is>
      </c>
      <c r="F102" t="inlineStr">
        <is>
          <t>primary</t>
        </is>
      </c>
      <c r="G102" t="inlineStr">
        <is>
          <t>required</t>
        </is>
      </c>
      <c r="H102" t="inlineStr">
        <is>
          <t>true</t>
        </is>
      </c>
      <c r="I102" t="inlineStr">
        <is>
          <t>189</t>
        </is>
      </c>
      <c r="J102" t="inlineStr">
        <is>
          <t>HL7 ValueSet expand (2026-06-09)</t>
        </is>
      </c>
      <c r="K102" t="inlineStr">
        <is>
          <t>false</t>
        </is>
      </c>
    </row>
    <row r="103">
      <c r="A103" t="inlineStr">
        <is>
          <t>Patient.race</t>
        </is>
      </c>
      <c r="B103" t="inlineStr">
        <is>
          <t>urn:oid:2.16.840.1.113883.6.238</t>
        </is>
      </c>
      <c r="C103" t="inlineStr">
        <is>
          <t>1114-8</t>
        </is>
      </c>
      <c r="D103" t="inlineStr">
        <is>
          <t>Chinook</t>
        </is>
      </c>
      <c r="E103" t="inlineStr">
        <is>
          <t>detailed</t>
        </is>
      </c>
      <c r="F103" t="inlineStr">
        <is>
          <t>primary</t>
        </is>
      </c>
      <c r="G103" t="inlineStr">
        <is>
          <t>required</t>
        </is>
      </c>
      <c r="H103" t="inlineStr">
        <is>
          <t>true</t>
        </is>
      </c>
      <c r="I103" t="inlineStr">
        <is>
          <t>190</t>
        </is>
      </c>
      <c r="J103" t="inlineStr">
        <is>
          <t>HL7 ValueSet expand (2026-06-09)</t>
        </is>
      </c>
      <c r="K103" t="inlineStr">
        <is>
          <t>false</t>
        </is>
      </c>
    </row>
    <row r="104">
      <c r="A104" t="inlineStr">
        <is>
          <t>Patient.race</t>
        </is>
      </c>
      <c r="B104" t="inlineStr">
        <is>
          <t>urn:oid:2.16.840.1.113883.6.238</t>
        </is>
      </c>
      <c r="C104" t="inlineStr">
        <is>
          <t>1115-5</t>
        </is>
      </c>
      <c r="D104" t="inlineStr">
        <is>
          <t>Clatsop</t>
        </is>
      </c>
      <c r="E104" t="inlineStr">
        <is>
          <t>detailed</t>
        </is>
      </c>
      <c r="F104" t="inlineStr">
        <is>
          <t>primary</t>
        </is>
      </c>
      <c r="G104" t="inlineStr">
        <is>
          <t>required</t>
        </is>
      </c>
      <c r="H104" t="inlineStr">
        <is>
          <t>true</t>
        </is>
      </c>
      <c r="I104" t="inlineStr">
        <is>
          <t>191</t>
        </is>
      </c>
      <c r="J104" t="inlineStr">
        <is>
          <t>HL7 ValueSet expand (2026-06-09)</t>
        </is>
      </c>
      <c r="K104" t="inlineStr">
        <is>
          <t>false</t>
        </is>
      </c>
    </row>
    <row r="105">
      <c r="A105" t="inlineStr">
        <is>
          <t>Patient.race</t>
        </is>
      </c>
      <c r="B105" t="inlineStr">
        <is>
          <t>urn:oid:2.16.840.1.113883.6.238</t>
        </is>
      </c>
      <c r="C105" t="inlineStr">
        <is>
          <t>1116-3</t>
        </is>
      </c>
      <c r="D105" t="inlineStr">
        <is>
          <t>Columbia River Chinook</t>
        </is>
      </c>
      <c r="E105" t="inlineStr">
        <is>
          <t>detailed</t>
        </is>
      </c>
      <c r="F105" t="inlineStr">
        <is>
          <t>primary</t>
        </is>
      </c>
      <c r="G105" t="inlineStr">
        <is>
          <t>required</t>
        </is>
      </c>
      <c r="H105" t="inlineStr">
        <is>
          <t>true</t>
        </is>
      </c>
      <c r="I105" t="inlineStr">
        <is>
          <t>192</t>
        </is>
      </c>
      <c r="J105" t="inlineStr">
        <is>
          <t>HL7 ValueSet expand (2026-06-09)</t>
        </is>
      </c>
      <c r="K105" t="inlineStr">
        <is>
          <t>false</t>
        </is>
      </c>
    </row>
    <row r="106">
      <c r="A106" t="inlineStr">
        <is>
          <t>Patient.race</t>
        </is>
      </c>
      <c r="B106" t="inlineStr">
        <is>
          <t>urn:oid:2.16.840.1.113883.6.238</t>
        </is>
      </c>
      <c r="C106" t="inlineStr">
        <is>
          <t>1117-1</t>
        </is>
      </c>
      <c r="D106" t="inlineStr">
        <is>
          <t>Kathlamet</t>
        </is>
      </c>
      <c r="E106" t="inlineStr">
        <is>
          <t>detailed</t>
        </is>
      </c>
      <c r="F106" t="inlineStr">
        <is>
          <t>primary</t>
        </is>
      </c>
      <c r="G106" t="inlineStr">
        <is>
          <t>required</t>
        </is>
      </c>
      <c r="H106" t="inlineStr">
        <is>
          <t>true</t>
        </is>
      </c>
      <c r="I106" t="inlineStr">
        <is>
          <t>193</t>
        </is>
      </c>
      <c r="J106" t="inlineStr">
        <is>
          <t>HL7 ValueSet expand (2026-06-09)</t>
        </is>
      </c>
      <c r="K106" t="inlineStr">
        <is>
          <t>false</t>
        </is>
      </c>
    </row>
    <row r="107">
      <c r="A107" t="inlineStr">
        <is>
          <t>Patient.race</t>
        </is>
      </c>
      <c r="B107" t="inlineStr">
        <is>
          <t>urn:oid:2.16.840.1.113883.6.238</t>
        </is>
      </c>
      <c r="C107" t="inlineStr">
        <is>
          <t>1118-9</t>
        </is>
      </c>
      <c r="D107" t="inlineStr">
        <is>
          <t>Upper Chinook</t>
        </is>
      </c>
      <c r="E107" t="inlineStr">
        <is>
          <t>detailed</t>
        </is>
      </c>
      <c r="F107" t="inlineStr">
        <is>
          <t>primary</t>
        </is>
      </c>
      <c r="G107" t="inlineStr">
        <is>
          <t>required</t>
        </is>
      </c>
      <c r="H107" t="inlineStr">
        <is>
          <t>true</t>
        </is>
      </c>
      <c r="I107" t="inlineStr">
        <is>
          <t>194</t>
        </is>
      </c>
      <c r="J107" t="inlineStr">
        <is>
          <t>HL7 ValueSet expand (2026-06-09)</t>
        </is>
      </c>
      <c r="K107" t="inlineStr">
        <is>
          <t>false</t>
        </is>
      </c>
    </row>
    <row r="108">
      <c r="A108" t="inlineStr">
        <is>
          <t>Patient.race</t>
        </is>
      </c>
      <c r="B108" t="inlineStr">
        <is>
          <t>urn:oid:2.16.840.1.113883.6.238</t>
        </is>
      </c>
      <c r="C108" t="inlineStr">
        <is>
          <t>1119-7</t>
        </is>
      </c>
      <c r="D108" t="inlineStr">
        <is>
          <t>Wakiakum Chinook</t>
        </is>
      </c>
      <c r="E108" t="inlineStr">
        <is>
          <t>detailed</t>
        </is>
      </c>
      <c r="F108" t="inlineStr">
        <is>
          <t>primary</t>
        </is>
      </c>
      <c r="G108" t="inlineStr">
        <is>
          <t>required</t>
        </is>
      </c>
      <c r="H108" t="inlineStr">
        <is>
          <t>true</t>
        </is>
      </c>
      <c r="I108" t="inlineStr">
        <is>
          <t>195</t>
        </is>
      </c>
      <c r="J108" t="inlineStr">
        <is>
          <t>HL7 ValueSet expand (2026-06-09)</t>
        </is>
      </c>
      <c r="K108" t="inlineStr">
        <is>
          <t>false</t>
        </is>
      </c>
    </row>
    <row r="109">
      <c r="A109" t="inlineStr">
        <is>
          <t>Patient.race</t>
        </is>
      </c>
      <c r="B109" t="inlineStr">
        <is>
          <t>urn:oid:2.16.840.1.113883.6.238</t>
        </is>
      </c>
      <c r="C109" t="inlineStr">
        <is>
          <t>1120-5</t>
        </is>
      </c>
      <c r="D109" t="inlineStr">
        <is>
          <t>Willapa Chinook</t>
        </is>
      </c>
      <c r="E109" t="inlineStr">
        <is>
          <t>detailed</t>
        </is>
      </c>
      <c r="F109" t="inlineStr">
        <is>
          <t>primary</t>
        </is>
      </c>
      <c r="G109" t="inlineStr">
        <is>
          <t>required</t>
        </is>
      </c>
      <c r="H109" t="inlineStr">
        <is>
          <t>true</t>
        </is>
      </c>
      <c r="I109" t="inlineStr">
        <is>
          <t>196</t>
        </is>
      </c>
      <c r="J109" t="inlineStr">
        <is>
          <t>HL7 ValueSet expand (2026-06-09)</t>
        </is>
      </c>
      <c r="K109" t="inlineStr">
        <is>
          <t>false</t>
        </is>
      </c>
    </row>
    <row r="110">
      <c r="A110" t="inlineStr">
        <is>
          <t>Patient.race</t>
        </is>
      </c>
      <c r="B110" t="inlineStr">
        <is>
          <t>urn:oid:2.16.840.1.113883.6.238</t>
        </is>
      </c>
      <c r="C110" t="inlineStr">
        <is>
          <t>1121-3</t>
        </is>
      </c>
      <c r="D110" t="inlineStr">
        <is>
          <t>Wishram</t>
        </is>
      </c>
      <c r="E110" t="inlineStr">
        <is>
          <t>detailed</t>
        </is>
      </c>
      <c r="F110" t="inlineStr">
        <is>
          <t>primary</t>
        </is>
      </c>
      <c r="G110" t="inlineStr">
        <is>
          <t>required</t>
        </is>
      </c>
      <c r="H110" t="inlineStr">
        <is>
          <t>true</t>
        </is>
      </c>
      <c r="I110" t="inlineStr">
        <is>
          <t>197</t>
        </is>
      </c>
      <c r="J110" t="inlineStr">
        <is>
          <t>HL7 ValueSet expand (2026-06-09)</t>
        </is>
      </c>
      <c r="K110" t="inlineStr">
        <is>
          <t>false</t>
        </is>
      </c>
    </row>
    <row r="111">
      <c r="A111" t="inlineStr">
        <is>
          <t>Patient.race</t>
        </is>
      </c>
      <c r="B111" t="inlineStr">
        <is>
          <t>urn:oid:2.16.840.1.113883.6.238</t>
        </is>
      </c>
      <c r="C111" t="inlineStr">
        <is>
          <t>1123-9</t>
        </is>
      </c>
      <c r="D111" t="inlineStr">
        <is>
          <t>Chippewa</t>
        </is>
      </c>
      <c r="E111" t="inlineStr">
        <is>
          <t>detailed</t>
        </is>
      </c>
      <c r="F111" t="inlineStr">
        <is>
          <t>primary</t>
        </is>
      </c>
      <c r="G111" t="inlineStr">
        <is>
          <t>required</t>
        </is>
      </c>
      <c r="H111" t="inlineStr">
        <is>
          <t>true</t>
        </is>
      </c>
      <c r="I111" t="inlineStr">
        <is>
          <t>198</t>
        </is>
      </c>
      <c r="J111" t="inlineStr">
        <is>
          <t>HL7 ValueSet expand (2026-06-09)</t>
        </is>
      </c>
      <c r="K111" t="inlineStr">
        <is>
          <t>false</t>
        </is>
      </c>
    </row>
    <row r="112">
      <c r="A112" t="inlineStr">
        <is>
          <t>Patient.race</t>
        </is>
      </c>
      <c r="B112" t="inlineStr">
        <is>
          <t>urn:oid:2.16.840.1.113883.6.238</t>
        </is>
      </c>
      <c r="C112" t="inlineStr">
        <is>
          <t>1124-7</t>
        </is>
      </c>
      <c r="D112" t="inlineStr">
        <is>
          <t>Bad River</t>
        </is>
      </c>
      <c r="E112" t="inlineStr">
        <is>
          <t>detailed</t>
        </is>
      </c>
      <c r="F112" t="inlineStr">
        <is>
          <t>primary</t>
        </is>
      </c>
      <c r="G112" t="inlineStr">
        <is>
          <t>required</t>
        </is>
      </c>
      <c r="H112" t="inlineStr">
        <is>
          <t>true</t>
        </is>
      </c>
      <c r="I112" t="inlineStr">
        <is>
          <t>199</t>
        </is>
      </c>
      <c r="J112" t="inlineStr">
        <is>
          <t>HL7 ValueSet expand (2026-06-09)</t>
        </is>
      </c>
      <c r="K112" t="inlineStr">
        <is>
          <t>false</t>
        </is>
      </c>
    </row>
    <row r="113">
      <c r="A113" t="inlineStr">
        <is>
          <t>Patient.race</t>
        </is>
      </c>
      <c r="B113" t="inlineStr">
        <is>
          <t>urn:oid:2.16.840.1.113883.6.238</t>
        </is>
      </c>
      <c r="C113" t="inlineStr">
        <is>
          <t>1125-4</t>
        </is>
      </c>
      <c r="D113" t="inlineStr">
        <is>
          <t>Bay Mills Chippewa</t>
        </is>
      </c>
      <c r="E113" t="inlineStr">
        <is>
          <t>detailed</t>
        </is>
      </c>
      <c r="F113" t="inlineStr">
        <is>
          <t>primary</t>
        </is>
      </c>
      <c r="G113" t="inlineStr">
        <is>
          <t>required</t>
        </is>
      </c>
      <c r="H113" t="inlineStr">
        <is>
          <t>true</t>
        </is>
      </c>
      <c r="I113" t="inlineStr">
        <is>
          <t>200</t>
        </is>
      </c>
      <c r="J113" t="inlineStr">
        <is>
          <t>HL7 ValueSet expand (2026-06-09)</t>
        </is>
      </c>
      <c r="K113" t="inlineStr">
        <is>
          <t>false</t>
        </is>
      </c>
    </row>
    <row r="114">
      <c r="A114" t="inlineStr">
        <is>
          <t>Patient.race</t>
        </is>
      </c>
      <c r="B114" t="inlineStr">
        <is>
          <t>urn:oid:2.16.840.1.113883.6.238</t>
        </is>
      </c>
      <c r="C114" t="inlineStr">
        <is>
          <t>1126-2</t>
        </is>
      </c>
      <c r="D114" t="inlineStr">
        <is>
          <t>Bois Forte</t>
        </is>
      </c>
      <c r="E114" t="inlineStr">
        <is>
          <t>detailed</t>
        </is>
      </c>
      <c r="F114" t="inlineStr">
        <is>
          <t>primary</t>
        </is>
      </c>
      <c r="G114" t="inlineStr">
        <is>
          <t>required</t>
        </is>
      </c>
      <c r="H114" t="inlineStr">
        <is>
          <t>true</t>
        </is>
      </c>
      <c r="I114" t="inlineStr">
        <is>
          <t>201</t>
        </is>
      </c>
      <c r="J114" t="inlineStr">
        <is>
          <t>HL7 ValueSet expand (2026-06-09)</t>
        </is>
      </c>
      <c r="K114" t="inlineStr">
        <is>
          <t>false</t>
        </is>
      </c>
    </row>
    <row r="115">
      <c r="A115" t="inlineStr">
        <is>
          <t>Patient.race</t>
        </is>
      </c>
      <c r="B115" t="inlineStr">
        <is>
          <t>urn:oid:2.16.840.1.113883.6.238</t>
        </is>
      </c>
      <c r="C115" t="inlineStr">
        <is>
          <t>1127-0</t>
        </is>
      </c>
      <c r="D115" t="inlineStr">
        <is>
          <t>Burt Lake Chippewa</t>
        </is>
      </c>
      <c r="E115" t="inlineStr">
        <is>
          <t>detailed</t>
        </is>
      </c>
      <c r="F115" t="inlineStr">
        <is>
          <t>primary</t>
        </is>
      </c>
      <c r="G115" t="inlineStr">
        <is>
          <t>required</t>
        </is>
      </c>
      <c r="H115" t="inlineStr">
        <is>
          <t>true</t>
        </is>
      </c>
      <c r="I115" t="inlineStr">
        <is>
          <t>202</t>
        </is>
      </c>
      <c r="J115" t="inlineStr">
        <is>
          <t>HL7 ValueSet expand (2026-06-09)</t>
        </is>
      </c>
      <c r="K115" t="inlineStr">
        <is>
          <t>false</t>
        </is>
      </c>
    </row>
    <row r="116">
      <c r="A116" t="inlineStr">
        <is>
          <t>Patient.race</t>
        </is>
      </c>
      <c r="B116" t="inlineStr">
        <is>
          <t>urn:oid:2.16.840.1.113883.6.238</t>
        </is>
      </c>
      <c r="C116" t="inlineStr">
        <is>
          <t>1128-8</t>
        </is>
      </c>
      <c r="D116" t="inlineStr">
        <is>
          <t>Fond du Lac</t>
        </is>
      </c>
      <c r="E116" t="inlineStr">
        <is>
          <t>detailed</t>
        </is>
      </c>
      <c r="F116" t="inlineStr">
        <is>
          <t>primary</t>
        </is>
      </c>
      <c r="G116" t="inlineStr">
        <is>
          <t>required</t>
        </is>
      </c>
      <c r="H116" t="inlineStr">
        <is>
          <t>true</t>
        </is>
      </c>
      <c r="I116" t="inlineStr">
        <is>
          <t>203</t>
        </is>
      </c>
      <c r="J116" t="inlineStr">
        <is>
          <t>HL7 ValueSet expand (2026-06-09)</t>
        </is>
      </c>
      <c r="K116" t="inlineStr">
        <is>
          <t>false</t>
        </is>
      </c>
    </row>
    <row r="117">
      <c r="A117" t="inlineStr">
        <is>
          <t>Patient.race</t>
        </is>
      </c>
      <c r="B117" t="inlineStr">
        <is>
          <t>urn:oid:2.16.840.1.113883.6.238</t>
        </is>
      </c>
      <c r="C117" t="inlineStr">
        <is>
          <t>1129-6</t>
        </is>
      </c>
      <c r="D117" t="inlineStr">
        <is>
          <t>Grand Portage</t>
        </is>
      </c>
      <c r="E117" t="inlineStr">
        <is>
          <t>detailed</t>
        </is>
      </c>
      <c r="F117" t="inlineStr">
        <is>
          <t>primary</t>
        </is>
      </c>
      <c r="G117" t="inlineStr">
        <is>
          <t>required</t>
        </is>
      </c>
      <c r="H117" t="inlineStr">
        <is>
          <t>true</t>
        </is>
      </c>
      <c r="I117" t="inlineStr">
        <is>
          <t>204</t>
        </is>
      </c>
      <c r="J117" t="inlineStr">
        <is>
          <t>HL7 ValueSet expand (2026-06-09)</t>
        </is>
      </c>
      <c r="K117" t="inlineStr">
        <is>
          <t>false</t>
        </is>
      </c>
    </row>
    <row r="118">
      <c r="A118" t="inlineStr">
        <is>
          <t>Patient.race</t>
        </is>
      </c>
      <c r="B118" t="inlineStr">
        <is>
          <t>urn:oid:2.16.840.1.113883.6.238</t>
        </is>
      </c>
      <c r="C118" t="inlineStr">
        <is>
          <t>1130-4</t>
        </is>
      </c>
      <c r="D118" t="inlineStr">
        <is>
          <t>Grand Traverse Band of Ottawa-Chippewa</t>
        </is>
      </c>
      <c r="E118" t="inlineStr">
        <is>
          <t>detailed</t>
        </is>
      </c>
      <c r="F118" t="inlineStr">
        <is>
          <t>primary</t>
        </is>
      </c>
      <c r="G118" t="inlineStr">
        <is>
          <t>required</t>
        </is>
      </c>
      <c r="H118" t="inlineStr">
        <is>
          <t>true</t>
        </is>
      </c>
      <c r="I118" t="inlineStr">
        <is>
          <t>205</t>
        </is>
      </c>
      <c r="J118" t="inlineStr">
        <is>
          <t>HL7 ValueSet expand (2026-06-09)</t>
        </is>
      </c>
      <c r="K118" t="inlineStr">
        <is>
          <t>false</t>
        </is>
      </c>
    </row>
    <row r="119">
      <c r="A119" t="inlineStr">
        <is>
          <t>Patient.race</t>
        </is>
      </c>
      <c r="B119" t="inlineStr">
        <is>
          <t>urn:oid:2.16.840.1.113883.6.238</t>
        </is>
      </c>
      <c r="C119" t="inlineStr">
        <is>
          <t>1131-2</t>
        </is>
      </c>
      <c r="D119" t="inlineStr">
        <is>
          <t>Keweenaw</t>
        </is>
      </c>
      <c r="E119" t="inlineStr">
        <is>
          <t>detailed</t>
        </is>
      </c>
      <c r="F119" t="inlineStr">
        <is>
          <t>primary</t>
        </is>
      </c>
      <c r="G119" t="inlineStr">
        <is>
          <t>required</t>
        </is>
      </c>
      <c r="H119" t="inlineStr">
        <is>
          <t>true</t>
        </is>
      </c>
      <c r="I119" t="inlineStr">
        <is>
          <t>206</t>
        </is>
      </c>
      <c r="J119" t="inlineStr">
        <is>
          <t>HL7 ValueSet expand (2026-06-09)</t>
        </is>
      </c>
      <c r="K119" t="inlineStr">
        <is>
          <t>false</t>
        </is>
      </c>
    </row>
    <row r="120">
      <c r="A120" t="inlineStr">
        <is>
          <t>Patient.race</t>
        </is>
      </c>
      <c r="B120" t="inlineStr">
        <is>
          <t>urn:oid:2.16.840.1.113883.6.238</t>
        </is>
      </c>
      <c r="C120" t="inlineStr">
        <is>
          <t>1132-0</t>
        </is>
      </c>
      <c r="D120" t="inlineStr">
        <is>
          <t>Lac Courte Oreilles</t>
        </is>
      </c>
      <c r="E120" t="inlineStr">
        <is>
          <t>detailed</t>
        </is>
      </c>
      <c r="F120" t="inlineStr">
        <is>
          <t>primary</t>
        </is>
      </c>
      <c r="G120" t="inlineStr">
        <is>
          <t>required</t>
        </is>
      </c>
      <c r="H120" t="inlineStr">
        <is>
          <t>true</t>
        </is>
      </c>
      <c r="I120" t="inlineStr">
        <is>
          <t>207</t>
        </is>
      </c>
      <c r="J120" t="inlineStr">
        <is>
          <t>HL7 ValueSet expand (2026-06-09)</t>
        </is>
      </c>
      <c r="K120" t="inlineStr">
        <is>
          <t>false</t>
        </is>
      </c>
    </row>
    <row r="121">
      <c r="A121" t="inlineStr">
        <is>
          <t>Patient.race</t>
        </is>
      </c>
      <c r="B121" t="inlineStr">
        <is>
          <t>urn:oid:2.16.840.1.113883.6.238</t>
        </is>
      </c>
      <c r="C121" t="inlineStr">
        <is>
          <t>1133-8</t>
        </is>
      </c>
      <c r="D121" t="inlineStr">
        <is>
          <t>Lac du Flambeau</t>
        </is>
      </c>
      <c r="E121" t="inlineStr">
        <is>
          <t>detailed</t>
        </is>
      </c>
      <c r="F121" t="inlineStr">
        <is>
          <t>primary</t>
        </is>
      </c>
      <c r="G121" t="inlineStr">
        <is>
          <t>required</t>
        </is>
      </c>
      <c r="H121" t="inlineStr">
        <is>
          <t>true</t>
        </is>
      </c>
      <c r="I121" t="inlineStr">
        <is>
          <t>208</t>
        </is>
      </c>
      <c r="J121" t="inlineStr">
        <is>
          <t>HL7 ValueSet expand (2026-06-09)</t>
        </is>
      </c>
      <c r="K121" t="inlineStr">
        <is>
          <t>false</t>
        </is>
      </c>
    </row>
    <row r="122">
      <c r="A122" t="inlineStr">
        <is>
          <t>Patient.race</t>
        </is>
      </c>
      <c r="B122" t="inlineStr">
        <is>
          <t>urn:oid:2.16.840.1.113883.6.238</t>
        </is>
      </c>
      <c r="C122" t="inlineStr">
        <is>
          <t>1134-6</t>
        </is>
      </c>
      <c r="D122" t="inlineStr">
        <is>
          <t>Lac Vieux Desert Chippewa</t>
        </is>
      </c>
      <c r="E122" t="inlineStr">
        <is>
          <t>detailed</t>
        </is>
      </c>
      <c r="F122" t="inlineStr">
        <is>
          <t>primary</t>
        </is>
      </c>
      <c r="G122" t="inlineStr">
        <is>
          <t>required</t>
        </is>
      </c>
      <c r="H122" t="inlineStr">
        <is>
          <t>true</t>
        </is>
      </c>
      <c r="I122" t="inlineStr">
        <is>
          <t>209</t>
        </is>
      </c>
      <c r="J122" t="inlineStr">
        <is>
          <t>HL7 ValueSet expand (2026-06-09)</t>
        </is>
      </c>
      <c r="K122" t="inlineStr">
        <is>
          <t>false</t>
        </is>
      </c>
    </row>
    <row r="123">
      <c r="A123" t="inlineStr">
        <is>
          <t>Patient.race</t>
        </is>
      </c>
      <c r="B123" t="inlineStr">
        <is>
          <t>urn:oid:2.16.840.1.113883.6.238</t>
        </is>
      </c>
      <c r="C123" t="inlineStr">
        <is>
          <t>1135-3</t>
        </is>
      </c>
      <c r="D123" t="inlineStr">
        <is>
          <t>Lake Superior</t>
        </is>
      </c>
      <c r="E123" t="inlineStr">
        <is>
          <t>detailed</t>
        </is>
      </c>
      <c r="F123" t="inlineStr">
        <is>
          <t>primary</t>
        </is>
      </c>
      <c r="G123" t="inlineStr">
        <is>
          <t>required</t>
        </is>
      </c>
      <c r="H123" t="inlineStr">
        <is>
          <t>true</t>
        </is>
      </c>
      <c r="I123" t="inlineStr">
        <is>
          <t>210</t>
        </is>
      </c>
      <c r="J123" t="inlineStr">
        <is>
          <t>HL7 ValueSet expand (2026-06-09)</t>
        </is>
      </c>
      <c r="K123" t="inlineStr">
        <is>
          <t>false</t>
        </is>
      </c>
    </row>
    <row r="124">
      <c r="A124" t="inlineStr">
        <is>
          <t>Patient.race</t>
        </is>
      </c>
      <c r="B124" t="inlineStr">
        <is>
          <t>urn:oid:2.16.840.1.113883.6.238</t>
        </is>
      </c>
      <c r="C124" t="inlineStr">
        <is>
          <t>1136-1</t>
        </is>
      </c>
      <c r="D124" t="inlineStr">
        <is>
          <t>Leech Lake</t>
        </is>
      </c>
      <c r="E124" t="inlineStr">
        <is>
          <t>detailed</t>
        </is>
      </c>
      <c r="F124" t="inlineStr">
        <is>
          <t>primary</t>
        </is>
      </c>
      <c r="G124" t="inlineStr">
        <is>
          <t>required</t>
        </is>
      </c>
      <c r="H124" t="inlineStr">
        <is>
          <t>true</t>
        </is>
      </c>
      <c r="I124" t="inlineStr">
        <is>
          <t>211</t>
        </is>
      </c>
      <c r="J124" t="inlineStr">
        <is>
          <t>HL7 ValueSet expand (2026-06-09)</t>
        </is>
      </c>
      <c r="K124" t="inlineStr">
        <is>
          <t>false</t>
        </is>
      </c>
    </row>
    <row r="125">
      <c r="A125" t="inlineStr">
        <is>
          <t>Patient.race</t>
        </is>
      </c>
      <c r="B125" t="inlineStr">
        <is>
          <t>urn:oid:2.16.840.1.113883.6.238</t>
        </is>
      </c>
      <c r="C125" t="inlineStr">
        <is>
          <t>1137-9</t>
        </is>
      </c>
      <c r="D125" t="inlineStr">
        <is>
          <t>Little Shell Chippewa</t>
        </is>
      </c>
      <c r="E125" t="inlineStr">
        <is>
          <t>detailed</t>
        </is>
      </c>
      <c r="F125" t="inlineStr">
        <is>
          <t>primary</t>
        </is>
      </c>
      <c r="G125" t="inlineStr">
        <is>
          <t>required</t>
        </is>
      </c>
      <c r="H125" t="inlineStr">
        <is>
          <t>true</t>
        </is>
      </c>
      <c r="I125" t="inlineStr">
        <is>
          <t>212</t>
        </is>
      </c>
      <c r="J125" t="inlineStr">
        <is>
          <t>HL7 ValueSet expand (2026-06-09)</t>
        </is>
      </c>
      <c r="K125" t="inlineStr">
        <is>
          <t>false</t>
        </is>
      </c>
    </row>
    <row r="126">
      <c r="A126" t="inlineStr">
        <is>
          <t>Patient.race</t>
        </is>
      </c>
      <c r="B126" t="inlineStr">
        <is>
          <t>urn:oid:2.16.840.1.113883.6.238</t>
        </is>
      </c>
      <c r="C126" t="inlineStr">
        <is>
          <t>1138-7</t>
        </is>
      </c>
      <c r="D126" t="inlineStr">
        <is>
          <t>Mille Lacs</t>
        </is>
      </c>
      <c r="E126" t="inlineStr">
        <is>
          <t>detailed</t>
        </is>
      </c>
      <c r="F126" t="inlineStr">
        <is>
          <t>primary</t>
        </is>
      </c>
      <c r="G126" t="inlineStr">
        <is>
          <t>required</t>
        </is>
      </c>
      <c r="H126" t="inlineStr">
        <is>
          <t>true</t>
        </is>
      </c>
      <c r="I126" t="inlineStr">
        <is>
          <t>213</t>
        </is>
      </c>
      <c r="J126" t="inlineStr">
        <is>
          <t>HL7 ValueSet expand (2026-06-09)</t>
        </is>
      </c>
      <c r="K126" t="inlineStr">
        <is>
          <t>false</t>
        </is>
      </c>
    </row>
    <row r="127">
      <c r="A127" t="inlineStr">
        <is>
          <t>Patient.race</t>
        </is>
      </c>
      <c r="B127" t="inlineStr">
        <is>
          <t>urn:oid:2.16.840.1.113883.6.238</t>
        </is>
      </c>
      <c r="C127" t="inlineStr">
        <is>
          <t>1139-5</t>
        </is>
      </c>
      <c r="D127" t="inlineStr">
        <is>
          <t>Minnesota Chippewa</t>
        </is>
      </c>
      <c r="E127" t="inlineStr">
        <is>
          <t>detailed</t>
        </is>
      </c>
      <c r="F127" t="inlineStr">
        <is>
          <t>primary</t>
        </is>
      </c>
      <c r="G127" t="inlineStr">
        <is>
          <t>required</t>
        </is>
      </c>
      <c r="H127" t="inlineStr">
        <is>
          <t>true</t>
        </is>
      </c>
      <c r="I127" t="inlineStr">
        <is>
          <t>214</t>
        </is>
      </c>
      <c r="J127" t="inlineStr">
        <is>
          <t>HL7 ValueSet expand (2026-06-09)</t>
        </is>
      </c>
      <c r="K127" t="inlineStr">
        <is>
          <t>false</t>
        </is>
      </c>
    </row>
    <row r="128">
      <c r="A128" t="inlineStr">
        <is>
          <t>Patient.race</t>
        </is>
      </c>
      <c r="B128" t="inlineStr">
        <is>
          <t>urn:oid:2.16.840.1.113883.6.238</t>
        </is>
      </c>
      <c r="C128" t="inlineStr">
        <is>
          <t>1140-3</t>
        </is>
      </c>
      <c r="D128" t="inlineStr">
        <is>
          <t>Ontonagon</t>
        </is>
      </c>
      <c r="E128" t="inlineStr">
        <is>
          <t>detailed</t>
        </is>
      </c>
      <c r="F128" t="inlineStr">
        <is>
          <t>primary</t>
        </is>
      </c>
      <c r="G128" t="inlineStr">
        <is>
          <t>required</t>
        </is>
      </c>
      <c r="H128" t="inlineStr">
        <is>
          <t>true</t>
        </is>
      </c>
      <c r="I128" t="inlineStr">
        <is>
          <t>215</t>
        </is>
      </c>
      <c r="J128" t="inlineStr">
        <is>
          <t>HL7 ValueSet expand (2026-06-09)</t>
        </is>
      </c>
      <c r="K128" t="inlineStr">
        <is>
          <t>false</t>
        </is>
      </c>
    </row>
    <row r="129">
      <c r="A129" t="inlineStr">
        <is>
          <t>Patient.race</t>
        </is>
      </c>
      <c r="B129" t="inlineStr">
        <is>
          <t>urn:oid:2.16.840.1.113883.6.238</t>
        </is>
      </c>
      <c r="C129" t="inlineStr">
        <is>
          <t>1141-1</t>
        </is>
      </c>
      <c r="D129" t="inlineStr">
        <is>
          <t>Red Cliff Chippewa</t>
        </is>
      </c>
      <c r="E129" t="inlineStr">
        <is>
          <t>detailed</t>
        </is>
      </c>
      <c r="F129" t="inlineStr">
        <is>
          <t>primary</t>
        </is>
      </c>
      <c r="G129" t="inlineStr">
        <is>
          <t>required</t>
        </is>
      </c>
      <c r="H129" t="inlineStr">
        <is>
          <t>true</t>
        </is>
      </c>
      <c r="I129" t="inlineStr">
        <is>
          <t>216</t>
        </is>
      </c>
      <c r="J129" t="inlineStr">
        <is>
          <t>HL7 ValueSet expand (2026-06-09)</t>
        </is>
      </c>
      <c r="K129" t="inlineStr">
        <is>
          <t>false</t>
        </is>
      </c>
    </row>
    <row r="130">
      <c r="A130" t="inlineStr">
        <is>
          <t>Patient.race</t>
        </is>
      </c>
      <c r="B130" t="inlineStr">
        <is>
          <t>urn:oid:2.16.840.1.113883.6.238</t>
        </is>
      </c>
      <c r="C130" t="inlineStr">
        <is>
          <t>1142-9</t>
        </is>
      </c>
      <c r="D130" t="inlineStr">
        <is>
          <t>Red Lake Chippewa</t>
        </is>
      </c>
      <c r="E130" t="inlineStr">
        <is>
          <t>detailed</t>
        </is>
      </c>
      <c r="F130" t="inlineStr">
        <is>
          <t>primary</t>
        </is>
      </c>
      <c r="G130" t="inlineStr">
        <is>
          <t>required</t>
        </is>
      </c>
      <c r="H130" t="inlineStr">
        <is>
          <t>true</t>
        </is>
      </c>
      <c r="I130" t="inlineStr">
        <is>
          <t>217</t>
        </is>
      </c>
      <c r="J130" t="inlineStr">
        <is>
          <t>HL7 ValueSet expand (2026-06-09)</t>
        </is>
      </c>
      <c r="K130" t="inlineStr">
        <is>
          <t>false</t>
        </is>
      </c>
    </row>
    <row r="131">
      <c r="A131" t="inlineStr">
        <is>
          <t>Patient.race</t>
        </is>
      </c>
      <c r="B131" t="inlineStr">
        <is>
          <t>urn:oid:2.16.840.1.113883.6.238</t>
        </is>
      </c>
      <c r="C131" t="inlineStr">
        <is>
          <t>1143-7</t>
        </is>
      </c>
      <c r="D131" t="inlineStr">
        <is>
          <t>Saginaw Chippewa</t>
        </is>
      </c>
      <c r="E131" t="inlineStr">
        <is>
          <t>detailed</t>
        </is>
      </c>
      <c r="F131" t="inlineStr">
        <is>
          <t>primary</t>
        </is>
      </c>
      <c r="G131" t="inlineStr">
        <is>
          <t>required</t>
        </is>
      </c>
      <c r="H131" t="inlineStr">
        <is>
          <t>true</t>
        </is>
      </c>
      <c r="I131" t="inlineStr">
        <is>
          <t>218</t>
        </is>
      </c>
      <c r="J131" t="inlineStr">
        <is>
          <t>HL7 ValueSet expand (2026-06-09)</t>
        </is>
      </c>
      <c r="K131" t="inlineStr">
        <is>
          <t>false</t>
        </is>
      </c>
    </row>
    <row r="132">
      <c r="A132" t="inlineStr">
        <is>
          <t>Patient.race</t>
        </is>
      </c>
      <c r="B132" t="inlineStr">
        <is>
          <t>urn:oid:2.16.840.1.113883.6.238</t>
        </is>
      </c>
      <c r="C132" t="inlineStr">
        <is>
          <t>1144-5</t>
        </is>
      </c>
      <c r="D132" t="inlineStr">
        <is>
          <t>St. Croix Chippewa</t>
        </is>
      </c>
      <c r="E132" t="inlineStr">
        <is>
          <t>detailed</t>
        </is>
      </c>
      <c r="F132" t="inlineStr">
        <is>
          <t>primary</t>
        </is>
      </c>
      <c r="G132" t="inlineStr">
        <is>
          <t>required</t>
        </is>
      </c>
      <c r="H132" t="inlineStr">
        <is>
          <t>true</t>
        </is>
      </c>
      <c r="I132" t="inlineStr">
        <is>
          <t>219</t>
        </is>
      </c>
      <c r="J132" t="inlineStr">
        <is>
          <t>HL7 ValueSet expand (2026-06-09)</t>
        </is>
      </c>
      <c r="K132" t="inlineStr">
        <is>
          <t>false</t>
        </is>
      </c>
    </row>
    <row r="133">
      <c r="A133" t="inlineStr">
        <is>
          <t>Patient.race</t>
        </is>
      </c>
      <c r="B133" t="inlineStr">
        <is>
          <t>urn:oid:2.16.840.1.113883.6.238</t>
        </is>
      </c>
      <c r="C133" t="inlineStr">
        <is>
          <t>1145-2</t>
        </is>
      </c>
      <c r="D133" t="inlineStr">
        <is>
          <t>Sault Ste. Marie Chippewa</t>
        </is>
      </c>
      <c r="E133" t="inlineStr">
        <is>
          <t>detailed</t>
        </is>
      </c>
      <c r="F133" t="inlineStr">
        <is>
          <t>primary</t>
        </is>
      </c>
      <c r="G133" t="inlineStr">
        <is>
          <t>required</t>
        </is>
      </c>
      <c r="H133" t="inlineStr">
        <is>
          <t>true</t>
        </is>
      </c>
      <c r="I133" t="inlineStr">
        <is>
          <t>220</t>
        </is>
      </c>
      <c r="J133" t="inlineStr">
        <is>
          <t>HL7 ValueSet expand (2026-06-09)</t>
        </is>
      </c>
      <c r="K133" t="inlineStr">
        <is>
          <t>false</t>
        </is>
      </c>
    </row>
    <row r="134">
      <c r="A134" t="inlineStr">
        <is>
          <t>Patient.race</t>
        </is>
      </c>
      <c r="B134" t="inlineStr">
        <is>
          <t>urn:oid:2.16.840.1.113883.6.238</t>
        </is>
      </c>
      <c r="C134" t="inlineStr">
        <is>
          <t>1146-0</t>
        </is>
      </c>
      <c r="D134" t="inlineStr">
        <is>
          <t>Sokoagon Chippewa</t>
        </is>
      </c>
      <c r="E134" t="inlineStr">
        <is>
          <t>detailed</t>
        </is>
      </c>
      <c r="F134" t="inlineStr">
        <is>
          <t>primary</t>
        </is>
      </c>
      <c r="G134" t="inlineStr">
        <is>
          <t>required</t>
        </is>
      </c>
      <c r="H134" t="inlineStr">
        <is>
          <t>true</t>
        </is>
      </c>
      <c r="I134" t="inlineStr">
        <is>
          <t>221</t>
        </is>
      </c>
      <c r="J134" t="inlineStr">
        <is>
          <t>HL7 ValueSet expand (2026-06-09)</t>
        </is>
      </c>
      <c r="K134" t="inlineStr">
        <is>
          <t>false</t>
        </is>
      </c>
    </row>
    <row r="135">
      <c r="A135" t="inlineStr">
        <is>
          <t>Patient.race</t>
        </is>
      </c>
      <c r="B135" t="inlineStr">
        <is>
          <t>urn:oid:2.16.840.1.113883.6.238</t>
        </is>
      </c>
      <c r="C135" t="inlineStr">
        <is>
          <t>1147-8</t>
        </is>
      </c>
      <c r="D135" t="inlineStr">
        <is>
          <t>Turtle Mountain</t>
        </is>
      </c>
      <c r="E135" t="inlineStr">
        <is>
          <t>detailed</t>
        </is>
      </c>
      <c r="F135" t="inlineStr">
        <is>
          <t>primary</t>
        </is>
      </c>
      <c r="G135" t="inlineStr">
        <is>
          <t>required</t>
        </is>
      </c>
      <c r="H135" t="inlineStr">
        <is>
          <t>true</t>
        </is>
      </c>
      <c r="I135" t="inlineStr">
        <is>
          <t>222</t>
        </is>
      </c>
      <c r="J135" t="inlineStr">
        <is>
          <t>HL7 ValueSet expand (2026-06-09)</t>
        </is>
      </c>
      <c r="K135" t="inlineStr">
        <is>
          <t>false</t>
        </is>
      </c>
    </row>
    <row r="136">
      <c r="A136" t="inlineStr">
        <is>
          <t>Patient.race</t>
        </is>
      </c>
      <c r="B136" t="inlineStr">
        <is>
          <t>urn:oid:2.16.840.1.113883.6.238</t>
        </is>
      </c>
      <c r="C136" t="inlineStr">
        <is>
          <t>1148-6</t>
        </is>
      </c>
      <c r="D136" t="inlineStr">
        <is>
          <t>White Earth</t>
        </is>
      </c>
      <c r="E136" t="inlineStr">
        <is>
          <t>detailed</t>
        </is>
      </c>
      <c r="F136" t="inlineStr">
        <is>
          <t>primary</t>
        </is>
      </c>
      <c r="G136" t="inlineStr">
        <is>
          <t>required</t>
        </is>
      </c>
      <c r="H136" t="inlineStr">
        <is>
          <t>true</t>
        </is>
      </c>
      <c r="I136" t="inlineStr">
        <is>
          <t>223</t>
        </is>
      </c>
      <c r="J136" t="inlineStr">
        <is>
          <t>HL7 ValueSet expand (2026-06-09)</t>
        </is>
      </c>
      <c r="K136" t="inlineStr">
        <is>
          <t>false</t>
        </is>
      </c>
    </row>
    <row r="137">
      <c r="A137" t="inlineStr">
        <is>
          <t>Patient.race</t>
        </is>
      </c>
      <c r="B137" t="inlineStr">
        <is>
          <t>urn:oid:2.16.840.1.113883.6.238</t>
        </is>
      </c>
      <c r="C137" t="inlineStr">
        <is>
          <t>1150-2</t>
        </is>
      </c>
      <c r="D137" t="inlineStr">
        <is>
          <t>Chippewa Cree</t>
        </is>
      </c>
      <c r="E137" t="inlineStr">
        <is>
          <t>detailed</t>
        </is>
      </c>
      <c r="F137" t="inlineStr">
        <is>
          <t>primary</t>
        </is>
      </c>
      <c r="G137" t="inlineStr">
        <is>
          <t>required</t>
        </is>
      </c>
      <c r="H137" t="inlineStr">
        <is>
          <t>true</t>
        </is>
      </c>
      <c r="I137" t="inlineStr">
        <is>
          <t>224</t>
        </is>
      </c>
      <c r="J137" t="inlineStr">
        <is>
          <t>HL7 ValueSet expand (2026-06-09)</t>
        </is>
      </c>
      <c r="K137" t="inlineStr">
        <is>
          <t>false</t>
        </is>
      </c>
    </row>
    <row r="138">
      <c r="A138" t="inlineStr">
        <is>
          <t>Patient.race</t>
        </is>
      </c>
      <c r="B138" t="inlineStr">
        <is>
          <t>urn:oid:2.16.840.1.113883.6.238</t>
        </is>
      </c>
      <c r="C138" t="inlineStr">
        <is>
          <t>1151-0</t>
        </is>
      </c>
      <c r="D138" t="inlineStr">
        <is>
          <t>Rocky Boy's Chippewa Cree</t>
        </is>
      </c>
      <c r="E138" t="inlineStr">
        <is>
          <t>detailed</t>
        </is>
      </c>
      <c r="F138" t="inlineStr">
        <is>
          <t>primary</t>
        </is>
      </c>
      <c r="G138" t="inlineStr">
        <is>
          <t>required</t>
        </is>
      </c>
      <c r="H138" t="inlineStr">
        <is>
          <t>true</t>
        </is>
      </c>
      <c r="I138" t="inlineStr">
        <is>
          <t>225</t>
        </is>
      </c>
      <c r="J138" t="inlineStr">
        <is>
          <t>HL7 ValueSet expand (2026-06-09)</t>
        </is>
      </c>
      <c r="K138" t="inlineStr">
        <is>
          <t>false</t>
        </is>
      </c>
    </row>
    <row r="139">
      <c r="A139" t="inlineStr">
        <is>
          <t>Patient.race</t>
        </is>
      </c>
      <c r="B139" t="inlineStr">
        <is>
          <t>urn:oid:2.16.840.1.113883.6.238</t>
        </is>
      </c>
      <c r="C139" t="inlineStr">
        <is>
          <t>1153-6</t>
        </is>
      </c>
      <c r="D139" t="inlineStr">
        <is>
          <t>Chitimacha</t>
        </is>
      </c>
      <c r="E139" t="inlineStr">
        <is>
          <t>detailed</t>
        </is>
      </c>
      <c r="F139" t="inlineStr">
        <is>
          <t>primary</t>
        </is>
      </c>
      <c r="G139" t="inlineStr">
        <is>
          <t>required</t>
        </is>
      </c>
      <c r="H139" t="inlineStr">
        <is>
          <t>true</t>
        </is>
      </c>
      <c r="I139" t="inlineStr">
        <is>
          <t>226</t>
        </is>
      </c>
      <c r="J139" t="inlineStr">
        <is>
          <t>HL7 ValueSet expand (2026-06-09)</t>
        </is>
      </c>
      <c r="K139" t="inlineStr">
        <is>
          <t>false</t>
        </is>
      </c>
    </row>
    <row r="140">
      <c r="A140" t="inlineStr">
        <is>
          <t>Patient.race</t>
        </is>
      </c>
      <c r="B140" t="inlineStr">
        <is>
          <t>urn:oid:2.16.840.1.113883.6.238</t>
        </is>
      </c>
      <c r="C140" t="inlineStr">
        <is>
          <t>1155-1</t>
        </is>
      </c>
      <c r="D140" t="inlineStr">
        <is>
          <t>Choctaw</t>
        </is>
      </c>
      <c r="E140" t="inlineStr">
        <is>
          <t>detailed</t>
        </is>
      </c>
      <c r="F140" t="inlineStr">
        <is>
          <t>primary</t>
        </is>
      </c>
      <c r="G140" t="inlineStr">
        <is>
          <t>required</t>
        </is>
      </c>
      <c r="H140" t="inlineStr">
        <is>
          <t>true</t>
        </is>
      </c>
      <c r="I140" t="inlineStr">
        <is>
          <t>227</t>
        </is>
      </c>
      <c r="J140" t="inlineStr">
        <is>
          <t>HL7 ValueSet expand (2026-06-09)</t>
        </is>
      </c>
      <c r="K140" t="inlineStr">
        <is>
          <t>false</t>
        </is>
      </c>
    </row>
    <row r="141">
      <c r="A141" t="inlineStr">
        <is>
          <t>Patient.race</t>
        </is>
      </c>
      <c r="B141" t="inlineStr">
        <is>
          <t>urn:oid:2.16.840.1.113883.6.238</t>
        </is>
      </c>
      <c r="C141" t="inlineStr">
        <is>
          <t>1156-9</t>
        </is>
      </c>
      <c r="D141" t="inlineStr">
        <is>
          <t>Clifton Choctaw</t>
        </is>
      </c>
      <c r="E141" t="inlineStr">
        <is>
          <t>detailed</t>
        </is>
      </c>
      <c r="F141" t="inlineStr">
        <is>
          <t>primary</t>
        </is>
      </c>
      <c r="G141" t="inlineStr">
        <is>
          <t>required</t>
        </is>
      </c>
      <c r="H141" t="inlineStr">
        <is>
          <t>true</t>
        </is>
      </c>
      <c r="I141" t="inlineStr">
        <is>
          <t>228</t>
        </is>
      </c>
      <c r="J141" t="inlineStr">
        <is>
          <t>HL7 ValueSet expand (2026-06-09)</t>
        </is>
      </c>
      <c r="K141" t="inlineStr">
        <is>
          <t>false</t>
        </is>
      </c>
    </row>
    <row r="142">
      <c r="A142" t="inlineStr">
        <is>
          <t>Patient.race</t>
        </is>
      </c>
      <c r="B142" t="inlineStr">
        <is>
          <t>urn:oid:2.16.840.1.113883.6.238</t>
        </is>
      </c>
      <c r="C142" t="inlineStr">
        <is>
          <t>1157-7</t>
        </is>
      </c>
      <c r="D142" t="inlineStr">
        <is>
          <t>Jena Choctaw</t>
        </is>
      </c>
      <c r="E142" t="inlineStr">
        <is>
          <t>detailed</t>
        </is>
      </c>
      <c r="F142" t="inlineStr">
        <is>
          <t>primary</t>
        </is>
      </c>
      <c r="G142" t="inlineStr">
        <is>
          <t>required</t>
        </is>
      </c>
      <c r="H142" t="inlineStr">
        <is>
          <t>true</t>
        </is>
      </c>
      <c r="I142" t="inlineStr">
        <is>
          <t>229</t>
        </is>
      </c>
      <c r="J142" t="inlineStr">
        <is>
          <t>HL7 ValueSet expand (2026-06-09)</t>
        </is>
      </c>
      <c r="K142" t="inlineStr">
        <is>
          <t>false</t>
        </is>
      </c>
    </row>
    <row r="143">
      <c r="A143" t="inlineStr">
        <is>
          <t>Patient.race</t>
        </is>
      </c>
      <c r="B143" t="inlineStr">
        <is>
          <t>urn:oid:2.16.840.1.113883.6.238</t>
        </is>
      </c>
      <c r="C143" t="inlineStr">
        <is>
          <t>1158-5</t>
        </is>
      </c>
      <c r="D143" t="inlineStr">
        <is>
          <t>Mississippi Choctaw</t>
        </is>
      </c>
      <c r="E143" t="inlineStr">
        <is>
          <t>detailed</t>
        </is>
      </c>
      <c r="F143" t="inlineStr">
        <is>
          <t>primary</t>
        </is>
      </c>
      <c r="G143" t="inlineStr">
        <is>
          <t>required</t>
        </is>
      </c>
      <c r="H143" t="inlineStr">
        <is>
          <t>true</t>
        </is>
      </c>
      <c r="I143" t="inlineStr">
        <is>
          <t>230</t>
        </is>
      </c>
      <c r="J143" t="inlineStr">
        <is>
          <t>HL7 ValueSet expand (2026-06-09)</t>
        </is>
      </c>
      <c r="K143" t="inlineStr">
        <is>
          <t>false</t>
        </is>
      </c>
    </row>
    <row r="144">
      <c r="A144" t="inlineStr">
        <is>
          <t>Patient.race</t>
        </is>
      </c>
      <c r="B144" t="inlineStr">
        <is>
          <t>urn:oid:2.16.840.1.113883.6.238</t>
        </is>
      </c>
      <c r="C144" t="inlineStr">
        <is>
          <t>1159-3</t>
        </is>
      </c>
      <c r="D144" t="inlineStr">
        <is>
          <t>Mowa Band of Choctaw</t>
        </is>
      </c>
      <c r="E144" t="inlineStr">
        <is>
          <t>detailed</t>
        </is>
      </c>
      <c r="F144" t="inlineStr">
        <is>
          <t>primary</t>
        </is>
      </c>
      <c r="G144" t="inlineStr">
        <is>
          <t>required</t>
        </is>
      </c>
      <c r="H144" t="inlineStr">
        <is>
          <t>true</t>
        </is>
      </c>
      <c r="I144" t="inlineStr">
        <is>
          <t>231</t>
        </is>
      </c>
      <c r="J144" t="inlineStr">
        <is>
          <t>HL7 ValueSet expand (2026-06-09)</t>
        </is>
      </c>
      <c r="K144" t="inlineStr">
        <is>
          <t>false</t>
        </is>
      </c>
    </row>
    <row r="145">
      <c r="A145" t="inlineStr">
        <is>
          <t>Patient.race</t>
        </is>
      </c>
      <c r="B145" t="inlineStr">
        <is>
          <t>urn:oid:2.16.840.1.113883.6.238</t>
        </is>
      </c>
      <c r="C145" t="inlineStr">
        <is>
          <t>1160-1</t>
        </is>
      </c>
      <c r="D145" t="inlineStr">
        <is>
          <t>Oklahoma Choctaw</t>
        </is>
      </c>
      <c r="E145" t="inlineStr">
        <is>
          <t>detailed</t>
        </is>
      </c>
      <c r="F145" t="inlineStr">
        <is>
          <t>primary</t>
        </is>
      </c>
      <c r="G145" t="inlineStr">
        <is>
          <t>required</t>
        </is>
      </c>
      <c r="H145" t="inlineStr">
        <is>
          <t>true</t>
        </is>
      </c>
      <c r="I145" t="inlineStr">
        <is>
          <t>232</t>
        </is>
      </c>
      <c r="J145" t="inlineStr">
        <is>
          <t>HL7 ValueSet expand (2026-06-09)</t>
        </is>
      </c>
      <c r="K145" t="inlineStr">
        <is>
          <t>false</t>
        </is>
      </c>
    </row>
    <row r="146">
      <c r="A146" t="inlineStr">
        <is>
          <t>Patient.race</t>
        </is>
      </c>
      <c r="B146" t="inlineStr">
        <is>
          <t>urn:oid:2.16.840.1.113883.6.238</t>
        </is>
      </c>
      <c r="C146" t="inlineStr">
        <is>
          <t>1162-7</t>
        </is>
      </c>
      <c r="D146" t="inlineStr">
        <is>
          <t>Chumash</t>
        </is>
      </c>
      <c r="E146" t="inlineStr">
        <is>
          <t>detailed</t>
        </is>
      </c>
      <c r="F146" t="inlineStr">
        <is>
          <t>primary</t>
        </is>
      </c>
      <c r="G146" t="inlineStr">
        <is>
          <t>required</t>
        </is>
      </c>
      <c r="H146" t="inlineStr">
        <is>
          <t>true</t>
        </is>
      </c>
      <c r="I146" t="inlineStr">
        <is>
          <t>233</t>
        </is>
      </c>
      <c r="J146" t="inlineStr">
        <is>
          <t>HL7 ValueSet expand (2026-06-09)</t>
        </is>
      </c>
      <c r="K146" t="inlineStr">
        <is>
          <t>false</t>
        </is>
      </c>
    </row>
    <row r="147">
      <c r="A147" t="inlineStr">
        <is>
          <t>Patient.race</t>
        </is>
      </c>
      <c r="B147" t="inlineStr">
        <is>
          <t>urn:oid:2.16.840.1.113883.6.238</t>
        </is>
      </c>
      <c r="C147" t="inlineStr">
        <is>
          <t>1163-5</t>
        </is>
      </c>
      <c r="D147" t="inlineStr">
        <is>
          <t>Santa Ynez</t>
        </is>
      </c>
      <c r="E147" t="inlineStr">
        <is>
          <t>detailed</t>
        </is>
      </c>
      <c r="F147" t="inlineStr">
        <is>
          <t>primary</t>
        </is>
      </c>
      <c r="G147" t="inlineStr">
        <is>
          <t>required</t>
        </is>
      </c>
      <c r="H147" t="inlineStr">
        <is>
          <t>true</t>
        </is>
      </c>
      <c r="I147" t="inlineStr">
        <is>
          <t>234</t>
        </is>
      </c>
      <c r="J147" t="inlineStr">
        <is>
          <t>HL7 ValueSet expand (2026-06-09)</t>
        </is>
      </c>
      <c r="K147" t="inlineStr">
        <is>
          <t>false</t>
        </is>
      </c>
    </row>
    <row r="148">
      <c r="A148" t="inlineStr">
        <is>
          <t>Patient.race</t>
        </is>
      </c>
      <c r="B148" t="inlineStr">
        <is>
          <t>urn:oid:2.16.840.1.113883.6.238</t>
        </is>
      </c>
      <c r="C148" t="inlineStr">
        <is>
          <t>1165-0</t>
        </is>
      </c>
      <c r="D148" t="inlineStr">
        <is>
          <t>Clear Lake</t>
        </is>
      </c>
      <c r="E148" t="inlineStr">
        <is>
          <t>detailed</t>
        </is>
      </c>
      <c r="F148" t="inlineStr">
        <is>
          <t>primary</t>
        </is>
      </c>
      <c r="G148" t="inlineStr">
        <is>
          <t>required</t>
        </is>
      </c>
      <c r="H148" t="inlineStr">
        <is>
          <t>true</t>
        </is>
      </c>
      <c r="I148" t="inlineStr">
        <is>
          <t>235</t>
        </is>
      </c>
      <c r="J148" t="inlineStr">
        <is>
          <t>HL7 ValueSet expand (2026-06-09)</t>
        </is>
      </c>
      <c r="K148" t="inlineStr">
        <is>
          <t>false</t>
        </is>
      </c>
    </row>
    <row r="149">
      <c r="A149" t="inlineStr">
        <is>
          <t>Patient.race</t>
        </is>
      </c>
      <c r="B149" t="inlineStr">
        <is>
          <t>urn:oid:2.16.840.1.113883.6.238</t>
        </is>
      </c>
      <c r="C149" t="inlineStr">
        <is>
          <t>1167-6</t>
        </is>
      </c>
      <c r="D149" t="inlineStr">
        <is>
          <t>Coeur D'Alene</t>
        </is>
      </c>
      <c r="E149" t="inlineStr">
        <is>
          <t>detailed</t>
        </is>
      </c>
      <c r="F149" t="inlineStr">
        <is>
          <t>primary</t>
        </is>
      </c>
      <c r="G149" t="inlineStr">
        <is>
          <t>required</t>
        </is>
      </c>
      <c r="H149" t="inlineStr">
        <is>
          <t>true</t>
        </is>
      </c>
      <c r="I149" t="inlineStr">
        <is>
          <t>236</t>
        </is>
      </c>
      <c r="J149" t="inlineStr">
        <is>
          <t>HL7 ValueSet expand (2026-06-09)</t>
        </is>
      </c>
      <c r="K149" t="inlineStr">
        <is>
          <t>false</t>
        </is>
      </c>
    </row>
    <row r="150">
      <c r="A150" t="inlineStr">
        <is>
          <t>Patient.race</t>
        </is>
      </c>
      <c r="B150" t="inlineStr">
        <is>
          <t>urn:oid:2.16.840.1.113883.6.238</t>
        </is>
      </c>
      <c r="C150" t="inlineStr">
        <is>
          <t>1169-2</t>
        </is>
      </c>
      <c r="D150" t="inlineStr">
        <is>
          <t>Coharie</t>
        </is>
      </c>
      <c r="E150" t="inlineStr">
        <is>
          <t>detailed</t>
        </is>
      </c>
      <c r="F150" t="inlineStr">
        <is>
          <t>primary</t>
        </is>
      </c>
      <c r="G150" t="inlineStr">
        <is>
          <t>required</t>
        </is>
      </c>
      <c r="H150" t="inlineStr">
        <is>
          <t>true</t>
        </is>
      </c>
      <c r="I150" t="inlineStr">
        <is>
          <t>237</t>
        </is>
      </c>
      <c r="J150" t="inlineStr">
        <is>
          <t>HL7 ValueSet expand (2026-06-09)</t>
        </is>
      </c>
      <c r="K150" t="inlineStr">
        <is>
          <t>false</t>
        </is>
      </c>
    </row>
    <row r="151">
      <c r="A151" t="inlineStr">
        <is>
          <t>Patient.race</t>
        </is>
      </c>
      <c r="B151" t="inlineStr">
        <is>
          <t>urn:oid:2.16.840.1.113883.6.238</t>
        </is>
      </c>
      <c r="C151" t="inlineStr">
        <is>
          <t>1171-8</t>
        </is>
      </c>
      <c r="D151" t="inlineStr">
        <is>
          <t>Colorado River</t>
        </is>
      </c>
      <c r="E151" t="inlineStr">
        <is>
          <t>detailed</t>
        </is>
      </c>
      <c r="F151" t="inlineStr">
        <is>
          <t>primary</t>
        </is>
      </c>
      <c r="G151" t="inlineStr">
        <is>
          <t>required</t>
        </is>
      </c>
      <c r="H151" t="inlineStr">
        <is>
          <t>true</t>
        </is>
      </c>
      <c r="I151" t="inlineStr">
        <is>
          <t>238</t>
        </is>
      </c>
      <c r="J151" t="inlineStr">
        <is>
          <t>HL7 ValueSet expand (2026-06-09)</t>
        </is>
      </c>
      <c r="K151" t="inlineStr">
        <is>
          <t>false</t>
        </is>
      </c>
    </row>
    <row r="152">
      <c r="A152" t="inlineStr">
        <is>
          <t>Patient.race</t>
        </is>
      </c>
      <c r="B152" t="inlineStr">
        <is>
          <t>urn:oid:2.16.840.1.113883.6.238</t>
        </is>
      </c>
      <c r="C152" t="inlineStr">
        <is>
          <t>1173-4</t>
        </is>
      </c>
      <c r="D152" t="inlineStr">
        <is>
          <t>Colville</t>
        </is>
      </c>
      <c r="E152" t="inlineStr">
        <is>
          <t>detailed</t>
        </is>
      </c>
      <c r="F152" t="inlineStr">
        <is>
          <t>primary</t>
        </is>
      </c>
      <c r="G152" t="inlineStr">
        <is>
          <t>required</t>
        </is>
      </c>
      <c r="H152" t="inlineStr">
        <is>
          <t>true</t>
        </is>
      </c>
      <c r="I152" t="inlineStr">
        <is>
          <t>239</t>
        </is>
      </c>
      <c r="J152" t="inlineStr">
        <is>
          <t>HL7 ValueSet expand (2026-06-09)</t>
        </is>
      </c>
      <c r="K152" t="inlineStr">
        <is>
          <t>false</t>
        </is>
      </c>
    </row>
    <row r="153">
      <c r="A153" t="inlineStr">
        <is>
          <t>Patient.race</t>
        </is>
      </c>
      <c r="B153" t="inlineStr">
        <is>
          <t>urn:oid:2.16.840.1.113883.6.238</t>
        </is>
      </c>
      <c r="C153" t="inlineStr">
        <is>
          <t>1175-9</t>
        </is>
      </c>
      <c r="D153" t="inlineStr">
        <is>
          <t>Comanche</t>
        </is>
      </c>
      <c r="E153" t="inlineStr">
        <is>
          <t>detailed</t>
        </is>
      </c>
      <c r="F153" t="inlineStr">
        <is>
          <t>primary</t>
        </is>
      </c>
      <c r="G153" t="inlineStr">
        <is>
          <t>required</t>
        </is>
      </c>
      <c r="H153" t="inlineStr">
        <is>
          <t>true</t>
        </is>
      </c>
      <c r="I153" t="inlineStr">
        <is>
          <t>240</t>
        </is>
      </c>
      <c r="J153" t="inlineStr">
        <is>
          <t>HL7 ValueSet expand (2026-06-09)</t>
        </is>
      </c>
      <c r="K153" t="inlineStr">
        <is>
          <t>false</t>
        </is>
      </c>
    </row>
    <row r="154">
      <c r="A154" t="inlineStr">
        <is>
          <t>Patient.race</t>
        </is>
      </c>
      <c r="B154" t="inlineStr">
        <is>
          <t>urn:oid:2.16.840.1.113883.6.238</t>
        </is>
      </c>
      <c r="C154" t="inlineStr">
        <is>
          <t>1176-7</t>
        </is>
      </c>
      <c r="D154" t="inlineStr">
        <is>
          <t>Oklahoma Comanche</t>
        </is>
      </c>
      <c r="E154" t="inlineStr">
        <is>
          <t>detailed</t>
        </is>
      </c>
      <c r="F154" t="inlineStr">
        <is>
          <t>primary</t>
        </is>
      </c>
      <c r="G154" t="inlineStr">
        <is>
          <t>required</t>
        </is>
      </c>
      <c r="H154" t="inlineStr">
        <is>
          <t>true</t>
        </is>
      </c>
      <c r="I154" t="inlineStr">
        <is>
          <t>241</t>
        </is>
      </c>
      <c r="J154" t="inlineStr">
        <is>
          <t>HL7 ValueSet expand (2026-06-09)</t>
        </is>
      </c>
      <c r="K154" t="inlineStr">
        <is>
          <t>false</t>
        </is>
      </c>
    </row>
    <row r="155">
      <c r="A155" t="inlineStr">
        <is>
          <t>Patient.race</t>
        </is>
      </c>
      <c r="B155" t="inlineStr">
        <is>
          <t>urn:oid:2.16.840.1.113883.6.238</t>
        </is>
      </c>
      <c r="C155" t="inlineStr">
        <is>
          <t>1178-3</t>
        </is>
      </c>
      <c r="D155" t="inlineStr">
        <is>
          <t>Coos, Lower Umpqua, Siuslaw</t>
        </is>
      </c>
      <c r="E155" t="inlineStr">
        <is>
          <t>detailed</t>
        </is>
      </c>
      <c r="F155" t="inlineStr">
        <is>
          <t>primary</t>
        </is>
      </c>
      <c r="G155" t="inlineStr">
        <is>
          <t>required</t>
        </is>
      </c>
      <c r="H155" t="inlineStr">
        <is>
          <t>true</t>
        </is>
      </c>
      <c r="I155" t="inlineStr">
        <is>
          <t>242</t>
        </is>
      </c>
      <c r="J155" t="inlineStr">
        <is>
          <t>HL7 ValueSet expand (2026-06-09)</t>
        </is>
      </c>
      <c r="K155" t="inlineStr">
        <is>
          <t>false</t>
        </is>
      </c>
    </row>
    <row r="156">
      <c r="A156" t="inlineStr">
        <is>
          <t>Patient.race</t>
        </is>
      </c>
      <c r="B156" t="inlineStr">
        <is>
          <t>urn:oid:2.16.840.1.113883.6.238</t>
        </is>
      </c>
      <c r="C156" t="inlineStr">
        <is>
          <t>1180-9</t>
        </is>
      </c>
      <c r="D156" t="inlineStr">
        <is>
          <t>Coos</t>
        </is>
      </c>
      <c r="E156" t="inlineStr">
        <is>
          <t>detailed</t>
        </is>
      </c>
      <c r="F156" t="inlineStr">
        <is>
          <t>primary</t>
        </is>
      </c>
      <c r="G156" t="inlineStr">
        <is>
          <t>required</t>
        </is>
      </c>
      <c r="H156" t="inlineStr">
        <is>
          <t>true</t>
        </is>
      </c>
      <c r="I156" t="inlineStr">
        <is>
          <t>243</t>
        </is>
      </c>
      <c r="J156" t="inlineStr">
        <is>
          <t>HL7 ValueSet expand (2026-06-09)</t>
        </is>
      </c>
      <c r="K156" t="inlineStr">
        <is>
          <t>false</t>
        </is>
      </c>
    </row>
    <row r="157">
      <c r="A157" t="inlineStr">
        <is>
          <t>Patient.race</t>
        </is>
      </c>
      <c r="B157" t="inlineStr">
        <is>
          <t>urn:oid:2.16.840.1.113883.6.238</t>
        </is>
      </c>
      <c r="C157" t="inlineStr">
        <is>
          <t>1182-5</t>
        </is>
      </c>
      <c r="D157" t="inlineStr">
        <is>
          <t>Coquilles</t>
        </is>
      </c>
      <c r="E157" t="inlineStr">
        <is>
          <t>detailed</t>
        </is>
      </c>
      <c r="F157" t="inlineStr">
        <is>
          <t>primary</t>
        </is>
      </c>
      <c r="G157" t="inlineStr">
        <is>
          <t>required</t>
        </is>
      </c>
      <c r="H157" t="inlineStr">
        <is>
          <t>true</t>
        </is>
      </c>
      <c r="I157" t="inlineStr">
        <is>
          <t>244</t>
        </is>
      </c>
      <c r="J157" t="inlineStr">
        <is>
          <t>HL7 ValueSet expand (2026-06-09)</t>
        </is>
      </c>
      <c r="K157" t="inlineStr">
        <is>
          <t>false</t>
        </is>
      </c>
    </row>
    <row r="158">
      <c r="A158" t="inlineStr">
        <is>
          <t>Patient.race</t>
        </is>
      </c>
      <c r="B158" t="inlineStr">
        <is>
          <t>urn:oid:2.16.840.1.113883.6.238</t>
        </is>
      </c>
      <c r="C158" t="inlineStr">
        <is>
          <t>1184-1</t>
        </is>
      </c>
      <c r="D158" t="inlineStr">
        <is>
          <t>Costanoan</t>
        </is>
      </c>
      <c r="E158" t="inlineStr">
        <is>
          <t>detailed</t>
        </is>
      </c>
      <c r="F158" t="inlineStr">
        <is>
          <t>primary</t>
        </is>
      </c>
      <c r="G158" t="inlineStr">
        <is>
          <t>required</t>
        </is>
      </c>
      <c r="H158" t="inlineStr">
        <is>
          <t>true</t>
        </is>
      </c>
      <c r="I158" t="inlineStr">
        <is>
          <t>245</t>
        </is>
      </c>
      <c r="J158" t="inlineStr">
        <is>
          <t>HL7 ValueSet expand (2026-06-09)</t>
        </is>
      </c>
      <c r="K158" t="inlineStr">
        <is>
          <t>false</t>
        </is>
      </c>
    </row>
    <row r="159">
      <c r="A159" t="inlineStr">
        <is>
          <t>Patient.race</t>
        </is>
      </c>
      <c r="B159" t="inlineStr">
        <is>
          <t>urn:oid:2.16.840.1.113883.6.238</t>
        </is>
      </c>
      <c r="C159" t="inlineStr">
        <is>
          <t>1186-6</t>
        </is>
      </c>
      <c r="D159" t="inlineStr">
        <is>
          <t>Coushatta</t>
        </is>
      </c>
      <c r="E159" t="inlineStr">
        <is>
          <t>detailed</t>
        </is>
      </c>
      <c r="F159" t="inlineStr">
        <is>
          <t>primary</t>
        </is>
      </c>
      <c r="G159" t="inlineStr">
        <is>
          <t>required</t>
        </is>
      </c>
      <c r="H159" t="inlineStr">
        <is>
          <t>true</t>
        </is>
      </c>
      <c r="I159" t="inlineStr">
        <is>
          <t>246</t>
        </is>
      </c>
      <c r="J159" t="inlineStr">
        <is>
          <t>HL7 ValueSet expand (2026-06-09)</t>
        </is>
      </c>
      <c r="K159" t="inlineStr">
        <is>
          <t>false</t>
        </is>
      </c>
    </row>
    <row r="160">
      <c r="A160" t="inlineStr">
        <is>
          <t>Patient.race</t>
        </is>
      </c>
      <c r="B160" t="inlineStr">
        <is>
          <t>urn:oid:2.16.840.1.113883.6.238</t>
        </is>
      </c>
      <c r="C160" t="inlineStr">
        <is>
          <t>1187-4</t>
        </is>
      </c>
      <c r="D160" t="inlineStr">
        <is>
          <t>Alabama Coushatta</t>
        </is>
      </c>
      <c r="E160" t="inlineStr">
        <is>
          <t>detailed</t>
        </is>
      </c>
      <c r="F160" t="inlineStr">
        <is>
          <t>primary</t>
        </is>
      </c>
      <c r="G160" t="inlineStr">
        <is>
          <t>required</t>
        </is>
      </c>
      <c r="H160" t="inlineStr">
        <is>
          <t>true</t>
        </is>
      </c>
      <c r="I160" t="inlineStr">
        <is>
          <t>247</t>
        </is>
      </c>
      <c r="J160" t="inlineStr">
        <is>
          <t>HL7 ValueSet expand (2026-06-09)</t>
        </is>
      </c>
      <c r="K160" t="inlineStr">
        <is>
          <t>false</t>
        </is>
      </c>
    </row>
    <row r="161">
      <c r="A161" t="inlineStr">
        <is>
          <t>Patient.race</t>
        </is>
      </c>
      <c r="B161" t="inlineStr">
        <is>
          <t>urn:oid:2.16.840.1.113883.6.238</t>
        </is>
      </c>
      <c r="C161" t="inlineStr">
        <is>
          <t>1189-0</t>
        </is>
      </c>
      <c r="D161" t="inlineStr">
        <is>
          <t>Cowlitz</t>
        </is>
      </c>
      <c r="E161" t="inlineStr">
        <is>
          <t>detailed</t>
        </is>
      </c>
      <c r="F161" t="inlineStr">
        <is>
          <t>primary</t>
        </is>
      </c>
      <c r="G161" t="inlineStr">
        <is>
          <t>required</t>
        </is>
      </c>
      <c r="H161" t="inlineStr">
        <is>
          <t>true</t>
        </is>
      </c>
      <c r="I161" t="inlineStr">
        <is>
          <t>248</t>
        </is>
      </c>
      <c r="J161" t="inlineStr">
        <is>
          <t>HL7 ValueSet expand (2026-06-09)</t>
        </is>
      </c>
      <c r="K161" t="inlineStr">
        <is>
          <t>false</t>
        </is>
      </c>
    </row>
    <row r="162">
      <c r="A162" t="inlineStr">
        <is>
          <t>Patient.race</t>
        </is>
      </c>
      <c r="B162" t="inlineStr">
        <is>
          <t>urn:oid:2.16.840.1.113883.6.238</t>
        </is>
      </c>
      <c r="C162" t="inlineStr">
        <is>
          <t>1191-6</t>
        </is>
      </c>
      <c r="D162" t="inlineStr">
        <is>
          <t>Cree</t>
        </is>
      </c>
      <c r="E162" t="inlineStr">
        <is>
          <t>detailed</t>
        </is>
      </c>
      <c r="F162" t="inlineStr">
        <is>
          <t>primary</t>
        </is>
      </c>
      <c r="G162" t="inlineStr">
        <is>
          <t>required</t>
        </is>
      </c>
      <c r="H162" t="inlineStr">
        <is>
          <t>true</t>
        </is>
      </c>
      <c r="I162" t="inlineStr">
        <is>
          <t>249</t>
        </is>
      </c>
      <c r="J162" t="inlineStr">
        <is>
          <t>HL7 ValueSet expand (2026-06-09)</t>
        </is>
      </c>
      <c r="K162" t="inlineStr">
        <is>
          <t>false</t>
        </is>
      </c>
    </row>
    <row r="163">
      <c r="A163" t="inlineStr">
        <is>
          <t>Patient.race</t>
        </is>
      </c>
      <c r="B163" t="inlineStr">
        <is>
          <t>urn:oid:2.16.840.1.113883.6.238</t>
        </is>
      </c>
      <c r="C163" t="inlineStr">
        <is>
          <t>1193-2</t>
        </is>
      </c>
      <c r="D163" t="inlineStr">
        <is>
          <t>Creek</t>
        </is>
      </c>
      <c r="E163" t="inlineStr">
        <is>
          <t>detailed</t>
        </is>
      </c>
      <c r="F163" t="inlineStr">
        <is>
          <t>primary</t>
        </is>
      </c>
      <c r="G163" t="inlineStr">
        <is>
          <t>required</t>
        </is>
      </c>
      <c r="H163" t="inlineStr">
        <is>
          <t>true</t>
        </is>
      </c>
      <c r="I163" t="inlineStr">
        <is>
          <t>250</t>
        </is>
      </c>
      <c r="J163" t="inlineStr">
        <is>
          <t>HL7 ValueSet expand (2026-06-09)</t>
        </is>
      </c>
      <c r="K163" t="inlineStr">
        <is>
          <t>false</t>
        </is>
      </c>
    </row>
    <row r="164">
      <c r="A164" t="inlineStr">
        <is>
          <t>Patient.race</t>
        </is>
      </c>
      <c r="B164" t="inlineStr">
        <is>
          <t>urn:oid:2.16.840.1.113883.6.238</t>
        </is>
      </c>
      <c r="C164" t="inlineStr">
        <is>
          <t>1194-0</t>
        </is>
      </c>
      <c r="D164" t="inlineStr">
        <is>
          <t>Alabama Creek</t>
        </is>
      </c>
      <c r="E164" t="inlineStr">
        <is>
          <t>detailed</t>
        </is>
      </c>
      <c r="F164" t="inlineStr">
        <is>
          <t>primary</t>
        </is>
      </c>
      <c r="G164" t="inlineStr">
        <is>
          <t>required</t>
        </is>
      </c>
      <c r="H164" t="inlineStr">
        <is>
          <t>true</t>
        </is>
      </c>
      <c r="I164" t="inlineStr">
        <is>
          <t>251</t>
        </is>
      </c>
      <c r="J164" t="inlineStr">
        <is>
          <t>HL7 ValueSet expand (2026-06-09)</t>
        </is>
      </c>
      <c r="K164" t="inlineStr">
        <is>
          <t>false</t>
        </is>
      </c>
    </row>
    <row r="165">
      <c r="A165" t="inlineStr">
        <is>
          <t>Patient.race</t>
        </is>
      </c>
      <c r="B165" t="inlineStr">
        <is>
          <t>urn:oid:2.16.840.1.113883.6.238</t>
        </is>
      </c>
      <c r="C165" t="inlineStr">
        <is>
          <t>1195-7</t>
        </is>
      </c>
      <c r="D165" t="inlineStr">
        <is>
          <t>Alabama Quassarte</t>
        </is>
      </c>
      <c r="E165" t="inlineStr">
        <is>
          <t>detailed</t>
        </is>
      </c>
      <c r="F165" t="inlineStr">
        <is>
          <t>primary</t>
        </is>
      </c>
      <c r="G165" t="inlineStr">
        <is>
          <t>required</t>
        </is>
      </c>
      <c r="H165" t="inlineStr">
        <is>
          <t>true</t>
        </is>
      </c>
      <c r="I165" t="inlineStr">
        <is>
          <t>252</t>
        </is>
      </c>
      <c r="J165" t="inlineStr">
        <is>
          <t>HL7 ValueSet expand (2026-06-09)</t>
        </is>
      </c>
      <c r="K165" t="inlineStr">
        <is>
          <t>false</t>
        </is>
      </c>
    </row>
    <row r="166">
      <c r="A166" t="inlineStr">
        <is>
          <t>Patient.race</t>
        </is>
      </c>
      <c r="B166" t="inlineStr">
        <is>
          <t>urn:oid:2.16.840.1.113883.6.238</t>
        </is>
      </c>
      <c r="C166" t="inlineStr">
        <is>
          <t>1196-5</t>
        </is>
      </c>
      <c r="D166" t="inlineStr">
        <is>
          <t>Eastern Creek</t>
        </is>
      </c>
      <c r="E166" t="inlineStr">
        <is>
          <t>detailed</t>
        </is>
      </c>
      <c r="F166" t="inlineStr">
        <is>
          <t>primary</t>
        </is>
      </c>
      <c r="G166" t="inlineStr">
        <is>
          <t>required</t>
        </is>
      </c>
      <c r="H166" t="inlineStr">
        <is>
          <t>true</t>
        </is>
      </c>
      <c r="I166" t="inlineStr">
        <is>
          <t>253</t>
        </is>
      </c>
      <c r="J166" t="inlineStr">
        <is>
          <t>HL7 ValueSet expand (2026-06-09)</t>
        </is>
      </c>
      <c r="K166" t="inlineStr">
        <is>
          <t>false</t>
        </is>
      </c>
    </row>
    <row r="167">
      <c r="A167" t="inlineStr">
        <is>
          <t>Patient.race</t>
        </is>
      </c>
      <c r="B167" t="inlineStr">
        <is>
          <t>urn:oid:2.16.840.1.113883.6.238</t>
        </is>
      </c>
      <c r="C167" t="inlineStr">
        <is>
          <t>1197-3</t>
        </is>
      </c>
      <c r="D167" t="inlineStr">
        <is>
          <t>Eastern Muscogee</t>
        </is>
      </c>
      <c r="E167" t="inlineStr">
        <is>
          <t>detailed</t>
        </is>
      </c>
      <c r="F167" t="inlineStr">
        <is>
          <t>primary</t>
        </is>
      </c>
      <c r="G167" t="inlineStr">
        <is>
          <t>required</t>
        </is>
      </c>
      <c r="H167" t="inlineStr">
        <is>
          <t>true</t>
        </is>
      </c>
      <c r="I167" t="inlineStr">
        <is>
          <t>254</t>
        </is>
      </c>
      <c r="J167" t="inlineStr">
        <is>
          <t>HL7 ValueSet expand (2026-06-09)</t>
        </is>
      </c>
      <c r="K167" t="inlineStr">
        <is>
          <t>false</t>
        </is>
      </c>
    </row>
    <row r="168">
      <c r="A168" t="inlineStr">
        <is>
          <t>Patient.race</t>
        </is>
      </c>
      <c r="B168" t="inlineStr">
        <is>
          <t>urn:oid:2.16.840.1.113883.6.238</t>
        </is>
      </c>
      <c r="C168" t="inlineStr">
        <is>
          <t>1198-1</t>
        </is>
      </c>
      <c r="D168" t="inlineStr">
        <is>
          <t>Kialegee</t>
        </is>
      </c>
      <c r="E168" t="inlineStr">
        <is>
          <t>detailed</t>
        </is>
      </c>
      <c r="F168" t="inlineStr">
        <is>
          <t>primary</t>
        </is>
      </c>
      <c r="G168" t="inlineStr">
        <is>
          <t>required</t>
        </is>
      </c>
      <c r="H168" t="inlineStr">
        <is>
          <t>true</t>
        </is>
      </c>
      <c r="I168" t="inlineStr">
        <is>
          <t>255</t>
        </is>
      </c>
      <c r="J168" t="inlineStr">
        <is>
          <t>HL7 ValueSet expand (2026-06-09)</t>
        </is>
      </c>
      <c r="K168" t="inlineStr">
        <is>
          <t>false</t>
        </is>
      </c>
    </row>
    <row r="169">
      <c r="A169" t="inlineStr">
        <is>
          <t>Patient.race</t>
        </is>
      </c>
      <c r="B169" t="inlineStr">
        <is>
          <t>urn:oid:2.16.840.1.113883.6.238</t>
        </is>
      </c>
      <c r="C169" t="inlineStr">
        <is>
          <t>1199-9</t>
        </is>
      </c>
      <c r="D169" t="inlineStr">
        <is>
          <t>Lower Muscogee</t>
        </is>
      </c>
      <c r="E169" t="inlineStr">
        <is>
          <t>detailed</t>
        </is>
      </c>
      <c r="F169" t="inlineStr">
        <is>
          <t>primary</t>
        </is>
      </c>
      <c r="G169" t="inlineStr">
        <is>
          <t>required</t>
        </is>
      </c>
      <c r="H169" t="inlineStr">
        <is>
          <t>true</t>
        </is>
      </c>
      <c r="I169" t="inlineStr">
        <is>
          <t>256</t>
        </is>
      </c>
      <c r="J169" t="inlineStr">
        <is>
          <t>HL7 ValueSet expand (2026-06-09)</t>
        </is>
      </c>
      <c r="K169" t="inlineStr">
        <is>
          <t>false</t>
        </is>
      </c>
    </row>
    <row r="170">
      <c r="A170" t="inlineStr">
        <is>
          <t>Patient.race</t>
        </is>
      </c>
      <c r="B170" t="inlineStr">
        <is>
          <t>urn:oid:2.16.840.1.113883.6.238</t>
        </is>
      </c>
      <c r="C170" t="inlineStr">
        <is>
          <t>1200-5</t>
        </is>
      </c>
      <c r="D170" t="inlineStr">
        <is>
          <t>Machis Lower Creek Indian</t>
        </is>
      </c>
      <c r="E170" t="inlineStr">
        <is>
          <t>detailed</t>
        </is>
      </c>
      <c r="F170" t="inlineStr">
        <is>
          <t>primary</t>
        </is>
      </c>
      <c r="G170" t="inlineStr">
        <is>
          <t>required</t>
        </is>
      </c>
      <c r="H170" t="inlineStr">
        <is>
          <t>true</t>
        </is>
      </c>
      <c r="I170" t="inlineStr">
        <is>
          <t>257</t>
        </is>
      </c>
      <c r="J170" t="inlineStr">
        <is>
          <t>HL7 ValueSet expand (2026-06-09)</t>
        </is>
      </c>
      <c r="K170" t="inlineStr">
        <is>
          <t>false</t>
        </is>
      </c>
    </row>
    <row r="171">
      <c r="A171" t="inlineStr">
        <is>
          <t>Patient.race</t>
        </is>
      </c>
      <c r="B171" t="inlineStr">
        <is>
          <t>urn:oid:2.16.840.1.113883.6.238</t>
        </is>
      </c>
      <c r="C171" t="inlineStr">
        <is>
          <t>1201-3</t>
        </is>
      </c>
      <c r="D171" t="inlineStr">
        <is>
          <t>Poarch Band</t>
        </is>
      </c>
      <c r="E171" t="inlineStr">
        <is>
          <t>detailed</t>
        </is>
      </c>
      <c r="F171" t="inlineStr">
        <is>
          <t>primary</t>
        </is>
      </c>
      <c r="G171" t="inlineStr">
        <is>
          <t>required</t>
        </is>
      </c>
      <c r="H171" t="inlineStr">
        <is>
          <t>true</t>
        </is>
      </c>
      <c r="I171" t="inlineStr">
        <is>
          <t>258</t>
        </is>
      </c>
      <c r="J171" t="inlineStr">
        <is>
          <t>HL7 ValueSet expand (2026-06-09)</t>
        </is>
      </c>
      <c r="K171" t="inlineStr">
        <is>
          <t>false</t>
        </is>
      </c>
    </row>
    <row r="172">
      <c r="A172" t="inlineStr">
        <is>
          <t>Patient.race</t>
        </is>
      </c>
      <c r="B172" t="inlineStr">
        <is>
          <t>urn:oid:2.16.840.1.113883.6.238</t>
        </is>
      </c>
      <c r="C172" t="inlineStr">
        <is>
          <t>1202-1</t>
        </is>
      </c>
      <c r="D172" t="inlineStr">
        <is>
          <t>Principal Creek Indian Nation</t>
        </is>
      </c>
      <c r="E172" t="inlineStr">
        <is>
          <t>detailed</t>
        </is>
      </c>
      <c r="F172" t="inlineStr">
        <is>
          <t>primary</t>
        </is>
      </c>
      <c r="G172" t="inlineStr">
        <is>
          <t>required</t>
        </is>
      </c>
      <c r="H172" t="inlineStr">
        <is>
          <t>true</t>
        </is>
      </c>
      <c r="I172" t="inlineStr">
        <is>
          <t>259</t>
        </is>
      </c>
      <c r="J172" t="inlineStr">
        <is>
          <t>HL7 ValueSet expand (2026-06-09)</t>
        </is>
      </c>
      <c r="K172" t="inlineStr">
        <is>
          <t>false</t>
        </is>
      </c>
    </row>
    <row r="173">
      <c r="A173" t="inlineStr">
        <is>
          <t>Patient.race</t>
        </is>
      </c>
      <c r="B173" t="inlineStr">
        <is>
          <t>urn:oid:2.16.840.1.113883.6.238</t>
        </is>
      </c>
      <c r="C173" t="inlineStr">
        <is>
          <t>1203-9</t>
        </is>
      </c>
      <c r="D173" t="inlineStr">
        <is>
          <t>Star Clan of Muscogee Creeks</t>
        </is>
      </c>
      <c r="E173" t="inlineStr">
        <is>
          <t>detailed</t>
        </is>
      </c>
      <c r="F173" t="inlineStr">
        <is>
          <t>primary</t>
        </is>
      </c>
      <c r="G173" t="inlineStr">
        <is>
          <t>required</t>
        </is>
      </c>
      <c r="H173" t="inlineStr">
        <is>
          <t>true</t>
        </is>
      </c>
      <c r="I173" t="inlineStr">
        <is>
          <t>260</t>
        </is>
      </c>
      <c r="J173" t="inlineStr">
        <is>
          <t>HL7 ValueSet expand (2026-06-09)</t>
        </is>
      </c>
      <c r="K173" t="inlineStr">
        <is>
          <t>false</t>
        </is>
      </c>
    </row>
    <row r="174">
      <c r="A174" t="inlineStr">
        <is>
          <t>Patient.race</t>
        </is>
      </c>
      <c r="B174" t="inlineStr">
        <is>
          <t>urn:oid:2.16.840.1.113883.6.238</t>
        </is>
      </c>
      <c r="C174" t="inlineStr">
        <is>
          <t>1204-7</t>
        </is>
      </c>
      <c r="D174" t="inlineStr">
        <is>
          <t>Thlopthlocco</t>
        </is>
      </c>
      <c r="E174" t="inlineStr">
        <is>
          <t>detailed</t>
        </is>
      </c>
      <c r="F174" t="inlineStr">
        <is>
          <t>primary</t>
        </is>
      </c>
      <c r="G174" t="inlineStr">
        <is>
          <t>required</t>
        </is>
      </c>
      <c r="H174" t="inlineStr">
        <is>
          <t>true</t>
        </is>
      </c>
      <c r="I174" t="inlineStr">
        <is>
          <t>261</t>
        </is>
      </c>
      <c r="J174" t="inlineStr">
        <is>
          <t>HL7 ValueSet expand (2026-06-09)</t>
        </is>
      </c>
      <c r="K174" t="inlineStr">
        <is>
          <t>false</t>
        </is>
      </c>
    </row>
    <row r="175">
      <c r="A175" t="inlineStr">
        <is>
          <t>Patient.race</t>
        </is>
      </c>
      <c r="B175" t="inlineStr">
        <is>
          <t>urn:oid:2.16.840.1.113883.6.238</t>
        </is>
      </c>
      <c r="C175" t="inlineStr">
        <is>
          <t>1205-4</t>
        </is>
      </c>
      <c r="D175" t="inlineStr">
        <is>
          <t>Tuckabachee</t>
        </is>
      </c>
      <c r="E175" t="inlineStr">
        <is>
          <t>detailed</t>
        </is>
      </c>
      <c r="F175" t="inlineStr">
        <is>
          <t>primary</t>
        </is>
      </c>
      <c r="G175" t="inlineStr">
        <is>
          <t>required</t>
        </is>
      </c>
      <c r="H175" t="inlineStr">
        <is>
          <t>true</t>
        </is>
      </c>
      <c r="I175" t="inlineStr">
        <is>
          <t>262</t>
        </is>
      </c>
      <c r="J175" t="inlineStr">
        <is>
          <t>HL7 ValueSet expand (2026-06-09)</t>
        </is>
      </c>
      <c r="K175" t="inlineStr">
        <is>
          <t>false</t>
        </is>
      </c>
    </row>
    <row r="176">
      <c r="A176" t="inlineStr">
        <is>
          <t>Patient.race</t>
        </is>
      </c>
      <c r="B176" t="inlineStr">
        <is>
          <t>urn:oid:2.16.840.1.113883.6.238</t>
        </is>
      </c>
      <c r="C176" t="inlineStr">
        <is>
          <t>1207-0</t>
        </is>
      </c>
      <c r="D176" t="inlineStr">
        <is>
          <t>Croatan</t>
        </is>
      </c>
      <c r="E176" t="inlineStr">
        <is>
          <t>detailed</t>
        </is>
      </c>
      <c r="F176" t="inlineStr">
        <is>
          <t>primary</t>
        </is>
      </c>
      <c r="G176" t="inlineStr">
        <is>
          <t>required</t>
        </is>
      </c>
      <c r="H176" t="inlineStr">
        <is>
          <t>true</t>
        </is>
      </c>
      <c r="I176" t="inlineStr">
        <is>
          <t>263</t>
        </is>
      </c>
      <c r="J176" t="inlineStr">
        <is>
          <t>HL7 ValueSet expand (2026-06-09)</t>
        </is>
      </c>
      <c r="K176" t="inlineStr">
        <is>
          <t>false</t>
        </is>
      </c>
    </row>
    <row r="177">
      <c r="A177" t="inlineStr">
        <is>
          <t>Patient.race</t>
        </is>
      </c>
      <c r="B177" t="inlineStr">
        <is>
          <t>urn:oid:2.16.840.1.113883.6.238</t>
        </is>
      </c>
      <c r="C177" t="inlineStr">
        <is>
          <t>1209-6</t>
        </is>
      </c>
      <c r="D177" t="inlineStr">
        <is>
          <t>Crow</t>
        </is>
      </c>
      <c r="E177" t="inlineStr">
        <is>
          <t>detailed</t>
        </is>
      </c>
      <c r="F177" t="inlineStr">
        <is>
          <t>primary</t>
        </is>
      </c>
      <c r="G177" t="inlineStr">
        <is>
          <t>required</t>
        </is>
      </c>
      <c r="H177" t="inlineStr">
        <is>
          <t>true</t>
        </is>
      </c>
      <c r="I177" t="inlineStr">
        <is>
          <t>264</t>
        </is>
      </c>
      <c r="J177" t="inlineStr">
        <is>
          <t>HL7 ValueSet expand (2026-06-09)</t>
        </is>
      </c>
      <c r="K177" t="inlineStr">
        <is>
          <t>false</t>
        </is>
      </c>
    </row>
    <row r="178">
      <c r="A178" t="inlineStr">
        <is>
          <t>Patient.race</t>
        </is>
      </c>
      <c r="B178" t="inlineStr">
        <is>
          <t>urn:oid:2.16.840.1.113883.6.238</t>
        </is>
      </c>
      <c r="C178" t="inlineStr">
        <is>
          <t>1211-2</t>
        </is>
      </c>
      <c r="D178" t="inlineStr">
        <is>
          <t>Cupeno</t>
        </is>
      </c>
      <c r="E178" t="inlineStr">
        <is>
          <t>detailed</t>
        </is>
      </c>
      <c r="F178" t="inlineStr">
        <is>
          <t>primary</t>
        </is>
      </c>
      <c r="G178" t="inlineStr">
        <is>
          <t>required</t>
        </is>
      </c>
      <c r="H178" t="inlineStr">
        <is>
          <t>true</t>
        </is>
      </c>
      <c r="I178" t="inlineStr">
        <is>
          <t>265</t>
        </is>
      </c>
      <c r="J178" t="inlineStr">
        <is>
          <t>HL7 ValueSet expand (2026-06-09)</t>
        </is>
      </c>
      <c r="K178" t="inlineStr">
        <is>
          <t>false</t>
        </is>
      </c>
    </row>
    <row r="179">
      <c r="A179" t="inlineStr">
        <is>
          <t>Patient.race</t>
        </is>
      </c>
      <c r="B179" t="inlineStr">
        <is>
          <t>urn:oid:2.16.840.1.113883.6.238</t>
        </is>
      </c>
      <c r="C179" t="inlineStr">
        <is>
          <t>1212-0</t>
        </is>
      </c>
      <c r="D179" t="inlineStr">
        <is>
          <t>Agua Caliente</t>
        </is>
      </c>
      <c r="E179" t="inlineStr">
        <is>
          <t>detailed</t>
        </is>
      </c>
      <c r="F179" t="inlineStr">
        <is>
          <t>primary</t>
        </is>
      </c>
      <c r="G179" t="inlineStr">
        <is>
          <t>required</t>
        </is>
      </c>
      <c r="H179" t="inlineStr">
        <is>
          <t>true</t>
        </is>
      </c>
      <c r="I179" t="inlineStr">
        <is>
          <t>266</t>
        </is>
      </c>
      <c r="J179" t="inlineStr">
        <is>
          <t>HL7 ValueSet expand (2026-06-09)</t>
        </is>
      </c>
      <c r="K179" t="inlineStr">
        <is>
          <t>false</t>
        </is>
      </c>
    </row>
    <row r="180">
      <c r="A180" t="inlineStr">
        <is>
          <t>Patient.race</t>
        </is>
      </c>
      <c r="B180" t="inlineStr">
        <is>
          <t>urn:oid:2.16.840.1.113883.6.238</t>
        </is>
      </c>
      <c r="C180" t="inlineStr">
        <is>
          <t>1214-6</t>
        </is>
      </c>
      <c r="D180" t="inlineStr">
        <is>
          <t>Delaware</t>
        </is>
      </c>
      <c r="E180" t="inlineStr">
        <is>
          <t>detailed</t>
        </is>
      </c>
      <c r="F180" t="inlineStr">
        <is>
          <t>primary</t>
        </is>
      </c>
      <c r="G180" t="inlineStr">
        <is>
          <t>required</t>
        </is>
      </c>
      <c r="H180" t="inlineStr">
        <is>
          <t>true</t>
        </is>
      </c>
      <c r="I180" t="inlineStr">
        <is>
          <t>267</t>
        </is>
      </c>
      <c r="J180" t="inlineStr">
        <is>
          <t>HL7 ValueSet expand (2026-06-09)</t>
        </is>
      </c>
      <c r="K180" t="inlineStr">
        <is>
          <t>false</t>
        </is>
      </c>
    </row>
    <row r="181">
      <c r="A181" t="inlineStr">
        <is>
          <t>Patient.race</t>
        </is>
      </c>
      <c r="B181" t="inlineStr">
        <is>
          <t>urn:oid:2.16.840.1.113883.6.238</t>
        </is>
      </c>
      <c r="C181" t="inlineStr">
        <is>
          <t>1215-3</t>
        </is>
      </c>
      <c r="D181" t="inlineStr">
        <is>
          <t>Eastern Delaware</t>
        </is>
      </c>
      <c r="E181" t="inlineStr">
        <is>
          <t>detailed</t>
        </is>
      </c>
      <c r="F181" t="inlineStr">
        <is>
          <t>primary</t>
        </is>
      </c>
      <c r="G181" t="inlineStr">
        <is>
          <t>required</t>
        </is>
      </c>
      <c r="H181" t="inlineStr">
        <is>
          <t>true</t>
        </is>
      </c>
      <c r="I181" t="inlineStr">
        <is>
          <t>268</t>
        </is>
      </c>
      <c r="J181" t="inlineStr">
        <is>
          <t>HL7 ValueSet expand (2026-06-09)</t>
        </is>
      </c>
      <c r="K181" t="inlineStr">
        <is>
          <t>false</t>
        </is>
      </c>
    </row>
    <row r="182">
      <c r="A182" t="inlineStr">
        <is>
          <t>Patient.race</t>
        </is>
      </c>
      <c r="B182" t="inlineStr">
        <is>
          <t>urn:oid:2.16.840.1.113883.6.238</t>
        </is>
      </c>
      <c r="C182" t="inlineStr">
        <is>
          <t>1216-1</t>
        </is>
      </c>
      <c r="D182" t="inlineStr">
        <is>
          <t>Lenni-Lenape</t>
        </is>
      </c>
      <c r="E182" t="inlineStr">
        <is>
          <t>detailed</t>
        </is>
      </c>
      <c r="F182" t="inlineStr">
        <is>
          <t>primary</t>
        </is>
      </c>
      <c r="G182" t="inlineStr">
        <is>
          <t>required</t>
        </is>
      </c>
      <c r="H182" t="inlineStr">
        <is>
          <t>true</t>
        </is>
      </c>
      <c r="I182" t="inlineStr">
        <is>
          <t>269</t>
        </is>
      </c>
      <c r="J182" t="inlineStr">
        <is>
          <t>HL7 ValueSet expand (2026-06-09)</t>
        </is>
      </c>
      <c r="K182" t="inlineStr">
        <is>
          <t>false</t>
        </is>
      </c>
    </row>
    <row r="183">
      <c r="A183" t="inlineStr">
        <is>
          <t>Patient.race</t>
        </is>
      </c>
      <c r="B183" t="inlineStr">
        <is>
          <t>urn:oid:2.16.840.1.113883.6.238</t>
        </is>
      </c>
      <c r="C183" t="inlineStr">
        <is>
          <t>1217-9</t>
        </is>
      </c>
      <c r="D183" t="inlineStr">
        <is>
          <t>Munsee</t>
        </is>
      </c>
      <c r="E183" t="inlineStr">
        <is>
          <t>detailed</t>
        </is>
      </c>
      <c r="F183" t="inlineStr">
        <is>
          <t>primary</t>
        </is>
      </c>
      <c r="G183" t="inlineStr">
        <is>
          <t>required</t>
        </is>
      </c>
      <c r="H183" t="inlineStr">
        <is>
          <t>true</t>
        </is>
      </c>
      <c r="I183" t="inlineStr">
        <is>
          <t>270</t>
        </is>
      </c>
      <c r="J183" t="inlineStr">
        <is>
          <t>HL7 ValueSet expand (2026-06-09)</t>
        </is>
      </c>
      <c r="K183" t="inlineStr">
        <is>
          <t>false</t>
        </is>
      </c>
    </row>
    <row r="184">
      <c r="A184" t="inlineStr">
        <is>
          <t>Patient.race</t>
        </is>
      </c>
      <c r="B184" t="inlineStr">
        <is>
          <t>urn:oid:2.16.840.1.113883.6.238</t>
        </is>
      </c>
      <c r="C184" t="inlineStr">
        <is>
          <t>1218-7</t>
        </is>
      </c>
      <c r="D184" t="inlineStr">
        <is>
          <t>Oklahoma Delaware</t>
        </is>
      </c>
      <c r="E184" t="inlineStr">
        <is>
          <t>detailed</t>
        </is>
      </c>
      <c r="F184" t="inlineStr">
        <is>
          <t>primary</t>
        </is>
      </c>
      <c r="G184" t="inlineStr">
        <is>
          <t>required</t>
        </is>
      </c>
      <c r="H184" t="inlineStr">
        <is>
          <t>true</t>
        </is>
      </c>
      <c r="I184" t="inlineStr">
        <is>
          <t>271</t>
        </is>
      </c>
      <c r="J184" t="inlineStr">
        <is>
          <t>HL7 ValueSet expand (2026-06-09)</t>
        </is>
      </c>
      <c r="K184" t="inlineStr">
        <is>
          <t>false</t>
        </is>
      </c>
    </row>
    <row r="185">
      <c r="A185" t="inlineStr">
        <is>
          <t>Patient.race</t>
        </is>
      </c>
      <c r="B185" t="inlineStr">
        <is>
          <t>urn:oid:2.16.840.1.113883.6.238</t>
        </is>
      </c>
      <c r="C185" t="inlineStr">
        <is>
          <t>1219-5</t>
        </is>
      </c>
      <c r="D185" t="inlineStr">
        <is>
          <t>Rampough Mountain</t>
        </is>
      </c>
      <c r="E185" t="inlineStr">
        <is>
          <t>detailed</t>
        </is>
      </c>
      <c r="F185" t="inlineStr">
        <is>
          <t>primary</t>
        </is>
      </c>
      <c r="G185" t="inlineStr">
        <is>
          <t>required</t>
        </is>
      </c>
      <c r="H185" t="inlineStr">
        <is>
          <t>true</t>
        </is>
      </c>
      <c r="I185" t="inlineStr">
        <is>
          <t>272</t>
        </is>
      </c>
      <c r="J185" t="inlineStr">
        <is>
          <t>HL7 ValueSet expand (2026-06-09)</t>
        </is>
      </c>
      <c r="K185" t="inlineStr">
        <is>
          <t>false</t>
        </is>
      </c>
    </row>
    <row r="186">
      <c r="A186" t="inlineStr">
        <is>
          <t>Patient.race</t>
        </is>
      </c>
      <c r="B186" t="inlineStr">
        <is>
          <t>urn:oid:2.16.840.1.113883.6.238</t>
        </is>
      </c>
      <c r="C186" t="inlineStr">
        <is>
          <t>1220-3</t>
        </is>
      </c>
      <c r="D186" t="inlineStr">
        <is>
          <t>Sand Hill</t>
        </is>
      </c>
      <c r="E186" t="inlineStr">
        <is>
          <t>detailed</t>
        </is>
      </c>
      <c r="F186" t="inlineStr">
        <is>
          <t>primary</t>
        </is>
      </c>
      <c r="G186" t="inlineStr">
        <is>
          <t>required</t>
        </is>
      </c>
      <c r="H186" t="inlineStr">
        <is>
          <t>true</t>
        </is>
      </c>
      <c r="I186" t="inlineStr">
        <is>
          <t>273</t>
        </is>
      </c>
      <c r="J186" t="inlineStr">
        <is>
          <t>HL7 ValueSet expand (2026-06-09)</t>
        </is>
      </c>
      <c r="K186" t="inlineStr">
        <is>
          <t>false</t>
        </is>
      </c>
    </row>
    <row r="187">
      <c r="A187" t="inlineStr">
        <is>
          <t>Patient.race</t>
        </is>
      </c>
      <c r="B187" t="inlineStr">
        <is>
          <t>urn:oid:2.16.840.1.113883.6.238</t>
        </is>
      </c>
      <c r="C187" t="inlineStr">
        <is>
          <t>1222-9</t>
        </is>
      </c>
      <c r="D187" t="inlineStr">
        <is>
          <t>Diegueno</t>
        </is>
      </c>
      <c r="E187" t="inlineStr">
        <is>
          <t>detailed</t>
        </is>
      </c>
      <c r="F187" t="inlineStr">
        <is>
          <t>primary</t>
        </is>
      </c>
      <c r="G187" t="inlineStr">
        <is>
          <t>required</t>
        </is>
      </c>
      <c r="H187" t="inlineStr">
        <is>
          <t>true</t>
        </is>
      </c>
      <c r="I187" t="inlineStr">
        <is>
          <t>274</t>
        </is>
      </c>
      <c r="J187" t="inlineStr">
        <is>
          <t>HL7 ValueSet expand (2026-06-09)</t>
        </is>
      </c>
      <c r="K187" t="inlineStr">
        <is>
          <t>false</t>
        </is>
      </c>
    </row>
    <row r="188">
      <c r="A188" t="inlineStr">
        <is>
          <t>Patient.race</t>
        </is>
      </c>
      <c r="B188" t="inlineStr">
        <is>
          <t>urn:oid:2.16.840.1.113883.6.238</t>
        </is>
      </c>
      <c r="C188" t="inlineStr">
        <is>
          <t>1223-7</t>
        </is>
      </c>
      <c r="D188" t="inlineStr">
        <is>
          <t>Campo</t>
        </is>
      </c>
      <c r="E188" t="inlineStr">
        <is>
          <t>detailed</t>
        </is>
      </c>
      <c r="F188" t="inlineStr">
        <is>
          <t>primary</t>
        </is>
      </c>
      <c r="G188" t="inlineStr">
        <is>
          <t>required</t>
        </is>
      </c>
      <c r="H188" t="inlineStr">
        <is>
          <t>true</t>
        </is>
      </c>
      <c r="I188" t="inlineStr">
        <is>
          <t>275</t>
        </is>
      </c>
      <c r="J188" t="inlineStr">
        <is>
          <t>HL7 ValueSet expand (2026-06-09)</t>
        </is>
      </c>
      <c r="K188" t="inlineStr">
        <is>
          <t>false</t>
        </is>
      </c>
    </row>
    <row r="189">
      <c r="A189" t="inlineStr">
        <is>
          <t>Patient.race</t>
        </is>
      </c>
      <c r="B189" t="inlineStr">
        <is>
          <t>urn:oid:2.16.840.1.113883.6.238</t>
        </is>
      </c>
      <c r="C189" t="inlineStr">
        <is>
          <t>1224-5</t>
        </is>
      </c>
      <c r="D189" t="inlineStr">
        <is>
          <t>Capitan Grande</t>
        </is>
      </c>
      <c r="E189" t="inlineStr">
        <is>
          <t>detailed</t>
        </is>
      </c>
      <c r="F189" t="inlineStr">
        <is>
          <t>primary</t>
        </is>
      </c>
      <c r="G189" t="inlineStr">
        <is>
          <t>required</t>
        </is>
      </c>
      <c r="H189" t="inlineStr">
        <is>
          <t>true</t>
        </is>
      </c>
      <c r="I189" t="inlineStr">
        <is>
          <t>276</t>
        </is>
      </c>
      <c r="J189" t="inlineStr">
        <is>
          <t>HL7 ValueSet expand (2026-06-09)</t>
        </is>
      </c>
      <c r="K189" t="inlineStr">
        <is>
          <t>false</t>
        </is>
      </c>
    </row>
    <row r="190">
      <c r="A190" t="inlineStr">
        <is>
          <t>Patient.race</t>
        </is>
      </c>
      <c r="B190" t="inlineStr">
        <is>
          <t>urn:oid:2.16.840.1.113883.6.238</t>
        </is>
      </c>
      <c r="C190" t="inlineStr">
        <is>
          <t>1225-2</t>
        </is>
      </c>
      <c r="D190" t="inlineStr">
        <is>
          <t>Cuyapaipe</t>
        </is>
      </c>
      <c r="E190" t="inlineStr">
        <is>
          <t>detailed</t>
        </is>
      </c>
      <c r="F190" t="inlineStr">
        <is>
          <t>primary</t>
        </is>
      </c>
      <c r="G190" t="inlineStr">
        <is>
          <t>required</t>
        </is>
      </c>
      <c r="H190" t="inlineStr">
        <is>
          <t>true</t>
        </is>
      </c>
      <c r="I190" t="inlineStr">
        <is>
          <t>277</t>
        </is>
      </c>
      <c r="J190" t="inlineStr">
        <is>
          <t>HL7 ValueSet expand (2026-06-09)</t>
        </is>
      </c>
      <c r="K190" t="inlineStr">
        <is>
          <t>false</t>
        </is>
      </c>
    </row>
    <row r="191">
      <c r="A191" t="inlineStr">
        <is>
          <t>Patient.race</t>
        </is>
      </c>
      <c r="B191" t="inlineStr">
        <is>
          <t>urn:oid:2.16.840.1.113883.6.238</t>
        </is>
      </c>
      <c r="C191" t="inlineStr">
        <is>
          <t>1226-0</t>
        </is>
      </c>
      <c r="D191" t="inlineStr">
        <is>
          <t>La Posta</t>
        </is>
      </c>
      <c r="E191" t="inlineStr">
        <is>
          <t>detailed</t>
        </is>
      </c>
      <c r="F191" t="inlineStr">
        <is>
          <t>primary</t>
        </is>
      </c>
      <c r="G191" t="inlineStr">
        <is>
          <t>required</t>
        </is>
      </c>
      <c r="H191" t="inlineStr">
        <is>
          <t>true</t>
        </is>
      </c>
      <c r="I191" t="inlineStr">
        <is>
          <t>278</t>
        </is>
      </c>
      <c r="J191" t="inlineStr">
        <is>
          <t>HL7 ValueSet expand (2026-06-09)</t>
        </is>
      </c>
      <c r="K191" t="inlineStr">
        <is>
          <t>false</t>
        </is>
      </c>
    </row>
    <row r="192">
      <c r="A192" t="inlineStr">
        <is>
          <t>Patient.race</t>
        </is>
      </c>
      <c r="B192" t="inlineStr">
        <is>
          <t>urn:oid:2.16.840.1.113883.6.238</t>
        </is>
      </c>
      <c r="C192" t="inlineStr">
        <is>
          <t>1227-8</t>
        </is>
      </c>
      <c r="D192" t="inlineStr">
        <is>
          <t>Manzanita</t>
        </is>
      </c>
      <c r="E192" t="inlineStr">
        <is>
          <t>detailed</t>
        </is>
      </c>
      <c r="F192" t="inlineStr">
        <is>
          <t>primary</t>
        </is>
      </c>
      <c r="G192" t="inlineStr">
        <is>
          <t>required</t>
        </is>
      </c>
      <c r="H192" t="inlineStr">
        <is>
          <t>true</t>
        </is>
      </c>
      <c r="I192" t="inlineStr">
        <is>
          <t>279</t>
        </is>
      </c>
      <c r="J192" t="inlineStr">
        <is>
          <t>HL7 ValueSet expand (2026-06-09)</t>
        </is>
      </c>
      <c r="K192" t="inlineStr">
        <is>
          <t>false</t>
        </is>
      </c>
    </row>
    <row r="193">
      <c r="A193" t="inlineStr">
        <is>
          <t>Patient.race</t>
        </is>
      </c>
      <c r="B193" t="inlineStr">
        <is>
          <t>urn:oid:2.16.840.1.113883.6.238</t>
        </is>
      </c>
      <c r="C193" t="inlineStr">
        <is>
          <t>1228-6</t>
        </is>
      </c>
      <c r="D193" t="inlineStr">
        <is>
          <t>Mesa Grande</t>
        </is>
      </c>
      <c r="E193" t="inlineStr">
        <is>
          <t>detailed</t>
        </is>
      </c>
      <c r="F193" t="inlineStr">
        <is>
          <t>primary</t>
        </is>
      </c>
      <c r="G193" t="inlineStr">
        <is>
          <t>required</t>
        </is>
      </c>
      <c r="H193" t="inlineStr">
        <is>
          <t>true</t>
        </is>
      </c>
      <c r="I193" t="inlineStr">
        <is>
          <t>280</t>
        </is>
      </c>
      <c r="J193" t="inlineStr">
        <is>
          <t>HL7 ValueSet expand (2026-06-09)</t>
        </is>
      </c>
      <c r="K193" t="inlineStr">
        <is>
          <t>false</t>
        </is>
      </c>
    </row>
    <row r="194">
      <c r="A194" t="inlineStr">
        <is>
          <t>Patient.race</t>
        </is>
      </c>
      <c r="B194" t="inlineStr">
        <is>
          <t>urn:oid:2.16.840.1.113883.6.238</t>
        </is>
      </c>
      <c r="C194" t="inlineStr">
        <is>
          <t>1229-4</t>
        </is>
      </c>
      <c r="D194" t="inlineStr">
        <is>
          <t>San Pasqual</t>
        </is>
      </c>
      <c r="E194" t="inlineStr">
        <is>
          <t>detailed</t>
        </is>
      </c>
      <c r="F194" t="inlineStr">
        <is>
          <t>primary</t>
        </is>
      </c>
      <c r="G194" t="inlineStr">
        <is>
          <t>required</t>
        </is>
      </c>
      <c r="H194" t="inlineStr">
        <is>
          <t>true</t>
        </is>
      </c>
      <c r="I194" t="inlineStr">
        <is>
          <t>281</t>
        </is>
      </c>
      <c r="J194" t="inlineStr">
        <is>
          <t>HL7 ValueSet expand (2026-06-09)</t>
        </is>
      </c>
      <c r="K194" t="inlineStr">
        <is>
          <t>false</t>
        </is>
      </c>
    </row>
    <row r="195">
      <c r="A195" t="inlineStr">
        <is>
          <t>Patient.race</t>
        </is>
      </c>
      <c r="B195" t="inlineStr">
        <is>
          <t>urn:oid:2.16.840.1.113883.6.238</t>
        </is>
      </c>
      <c r="C195" t="inlineStr">
        <is>
          <t>1230-2</t>
        </is>
      </c>
      <c r="D195" t="inlineStr">
        <is>
          <t>Santa Ysabel</t>
        </is>
      </c>
      <c r="E195" t="inlineStr">
        <is>
          <t>detailed</t>
        </is>
      </c>
      <c r="F195" t="inlineStr">
        <is>
          <t>primary</t>
        </is>
      </c>
      <c r="G195" t="inlineStr">
        <is>
          <t>required</t>
        </is>
      </c>
      <c r="H195" t="inlineStr">
        <is>
          <t>true</t>
        </is>
      </c>
      <c r="I195" t="inlineStr">
        <is>
          <t>282</t>
        </is>
      </c>
      <c r="J195" t="inlineStr">
        <is>
          <t>HL7 ValueSet expand (2026-06-09)</t>
        </is>
      </c>
      <c r="K195" t="inlineStr">
        <is>
          <t>false</t>
        </is>
      </c>
    </row>
    <row r="196">
      <c r="A196" t="inlineStr">
        <is>
          <t>Patient.race</t>
        </is>
      </c>
      <c r="B196" t="inlineStr">
        <is>
          <t>urn:oid:2.16.840.1.113883.6.238</t>
        </is>
      </c>
      <c r="C196" t="inlineStr">
        <is>
          <t>1231-0</t>
        </is>
      </c>
      <c r="D196" t="inlineStr">
        <is>
          <t>Sycuan</t>
        </is>
      </c>
      <c r="E196" t="inlineStr">
        <is>
          <t>detailed</t>
        </is>
      </c>
      <c r="F196" t="inlineStr">
        <is>
          <t>primary</t>
        </is>
      </c>
      <c r="G196" t="inlineStr">
        <is>
          <t>required</t>
        </is>
      </c>
      <c r="H196" t="inlineStr">
        <is>
          <t>true</t>
        </is>
      </c>
      <c r="I196" t="inlineStr">
        <is>
          <t>283</t>
        </is>
      </c>
      <c r="J196" t="inlineStr">
        <is>
          <t>HL7 ValueSet expand (2026-06-09)</t>
        </is>
      </c>
      <c r="K196" t="inlineStr">
        <is>
          <t>false</t>
        </is>
      </c>
    </row>
    <row r="197">
      <c r="A197" t="inlineStr">
        <is>
          <t>Patient.race</t>
        </is>
      </c>
      <c r="B197" t="inlineStr">
        <is>
          <t>urn:oid:2.16.840.1.113883.6.238</t>
        </is>
      </c>
      <c r="C197" t="inlineStr">
        <is>
          <t>1233-6</t>
        </is>
      </c>
      <c r="D197" t="inlineStr">
        <is>
          <t>Eastern Tribes</t>
        </is>
      </c>
      <c r="E197" t="inlineStr">
        <is>
          <t>detailed</t>
        </is>
      </c>
      <c r="F197" t="inlineStr">
        <is>
          <t>primary</t>
        </is>
      </c>
      <c r="G197" t="inlineStr">
        <is>
          <t>required</t>
        </is>
      </c>
      <c r="H197" t="inlineStr">
        <is>
          <t>true</t>
        </is>
      </c>
      <c r="I197" t="inlineStr">
        <is>
          <t>284</t>
        </is>
      </c>
      <c r="J197" t="inlineStr">
        <is>
          <t>HL7 ValueSet expand (2026-06-09)</t>
        </is>
      </c>
      <c r="K197" t="inlineStr">
        <is>
          <t>false</t>
        </is>
      </c>
    </row>
    <row r="198">
      <c r="A198" t="inlineStr">
        <is>
          <t>Patient.race</t>
        </is>
      </c>
      <c r="B198" t="inlineStr">
        <is>
          <t>urn:oid:2.16.840.1.113883.6.238</t>
        </is>
      </c>
      <c r="C198" t="inlineStr">
        <is>
          <t>1234-4</t>
        </is>
      </c>
      <c r="D198" t="inlineStr">
        <is>
          <t>Attacapa</t>
        </is>
      </c>
      <c r="E198" t="inlineStr">
        <is>
          <t>detailed</t>
        </is>
      </c>
      <c r="F198" t="inlineStr">
        <is>
          <t>primary</t>
        </is>
      </c>
      <c r="G198" t="inlineStr">
        <is>
          <t>required</t>
        </is>
      </c>
      <c r="H198" t="inlineStr">
        <is>
          <t>true</t>
        </is>
      </c>
      <c r="I198" t="inlineStr">
        <is>
          <t>285</t>
        </is>
      </c>
      <c r="J198" t="inlineStr">
        <is>
          <t>HL7 ValueSet expand (2026-06-09)</t>
        </is>
      </c>
      <c r="K198" t="inlineStr">
        <is>
          <t>false</t>
        </is>
      </c>
    </row>
    <row r="199">
      <c r="A199" t="inlineStr">
        <is>
          <t>Patient.race</t>
        </is>
      </c>
      <c r="B199" t="inlineStr">
        <is>
          <t>urn:oid:2.16.840.1.113883.6.238</t>
        </is>
      </c>
      <c r="C199" t="inlineStr">
        <is>
          <t>1235-1</t>
        </is>
      </c>
      <c r="D199" t="inlineStr">
        <is>
          <t>Biloxi</t>
        </is>
      </c>
      <c r="E199" t="inlineStr">
        <is>
          <t>detailed</t>
        </is>
      </c>
      <c r="F199" t="inlineStr">
        <is>
          <t>primary</t>
        </is>
      </c>
      <c r="G199" t="inlineStr">
        <is>
          <t>required</t>
        </is>
      </c>
      <c r="H199" t="inlineStr">
        <is>
          <t>true</t>
        </is>
      </c>
      <c r="I199" t="inlineStr">
        <is>
          <t>286</t>
        </is>
      </c>
      <c r="J199" t="inlineStr">
        <is>
          <t>HL7 ValueSet expand (2026-06-09)</t>
        </is>
      </c>
      <c r="K199" t="inlineStr">
        <is>
          <t>false</t>
        </is>
      </c>
    </row>
    <row r="200">
      <c r="A200" t="inlineStr">
        <is>
          <t>Patient.race</t>
        </is>
      </c>
      <c r="B200" t="inlineStr">
        <is>
          <t>urn:oid:2.16.840.1.113883.6.238</t>
        </is>
      </c>
      <c r="C200" t="inlineStr">
        <is>
          <t>1236-9</t>
        </is>
      </c>
      <c r="D200" t="inlineStr">
        <is>
          <t>Georgetown</t>
        </is>
      </c>
      <c r="E200" t="inlineStr">
        <is>
          <t>detailed</t>
        </is>
      </c>
      <c r="F200" t="inlineStr">
        <is>
          <t>primary</t>
        </is>
      </c>
      <c r="G200" t="inlineStr">
        <is>
          <t>required</t>
        </is>
      </c>
      <c r="H200" t="inlineStr">
        <is>
          <t>true</t>
        </is>
      </c>
      <c r="I200" t="inlineStr">
        <is>
          <t>287</t>
        </is>
      </c>
      <c r="J200" t="inlineStr">
        <is>
          <t>HL7 ValueSet expand (2026-06-09)</t>
        </is>
      </c>
      <c r="K200" t="inlineStr">
        <is>
          <t>false</t>
        </is>
      </c>
    </row>
    <row r="201">
      <c r="A201" t="inlineStr">
        <is>
          <t>Patient.race</t>
        </is>
      </c>
      <c r="B201" t="inlineStr">
        <is>
          <t>urn:oid:2.16.840.1.113883.6.238</t>
        </is>
      </c>
      <c r="C201" t="inlineStr">
        <is>
          <t>1237-7</t>
        </is>
      </c>
      <c r="D201" t="inlineStr">
        <is>
          <t>Moor</t>
        </is>
      </c>
      <c r="E201" t="inlineStr">
        <is>
          <t>detailed</t>
        </is>
      </c>
      <c r="F201" t="inlineStr">
        <is>
          <t>primary</t>
        </is>
      </c>
      <c r="G201" t="inlineStr">
        <is>
          <t>required</t>
        </is>
      </c>
      <c r="H201" t="inlineStr">
        <is>
          <t>true</t>
        </is>
      </c>
      <c r="I201" t="inlineStr">
        <is>
          <t>288</t>
        </is>
      </c>
      <c r="J201" t="inlineStr">
        <is>
          <t>HL7 ValueSet expand (2026-06-09)</t>
        </is>
      </c>
      <c r="K201" t="inlineStr">
        <is>
          <t>false</t>
        </is>
      </c>
    </row>
    <row r="202">
      <c r="A202" t="inlineStr">
        <is>
          <t>Patient.race</t>
        </is>
      </c>
      <c r="B202" t="inlineStr">
        <is>
          <t>urn:oid:2.16.840.1.113883.6.238</t>
        </is>
      </c>
      <c r="C202" t="inlineStr">
        <is>
          <t>1238-5</t>
        </is>
      </c>
      <c r="D202" t="inlineStr">
        <is>
          <t>Nansemond</t>
        </is>
      </c>
      <c r="E202" t="inlineStr">
        <is>
          <t>detailed</t>
        </is>
      </c>
      <c r="F202" t="inlineStr">
        <is>
          <t>primary</t>
        </is>
      </c>
      <c r="G202" t="inlineStr">
        <is>
          <t>required</t>
        </is>
      </c>
      <c r="H202" t="inlineStr">
        <is>
          <t>true</t>
        </is>
      </c>
      <c r="I202" t="inlineStr">
        <is>
          <t>289</t>
        </is>
      </c>
      <c r="J202" t="inlineStr">
        <is>
          <t>HL7 ValueSet expand (2026-06-09)</t>
        </is>
      </c>
      <c r="K202" t="inlineStr">
        <is>
          <t>false</t>
        </is>
      </c>
    </row>
    <row r="203">
      <c r="A203" t="inlineStr">
        <is>
          <t>Patient.race</t>
        </is>
      </c>
      <c r="B203" t="inlineStr">
        <is>
          <t>urn:oid:2.16.840.1.113883.6.238</t>
        </is>
      </c>
      <c r="C203" t="inlineStr">
        <is>
          <t>1239-3</t>
        </is>
      </c>
      <c r="D203" t="inlineStr">
        <is>
          <t>Natchez</t>
        </is>
      </c>
      <c r="E203" t="inlineStr">
        <is>
          <t>detailed</t>
        </is>
      </c>
      <c r="F203" t="inlineStr">
        <is>
          <t>primary</t>
        </is>
      </c>
      <c r="G203" t="inlineStr">
        <is>
          <t>required</t>
        </is>
      </c>
      <c r="H203" t="inlineStr">
        <is>
          <t>true</t>
        </is>
      </c>
      <c r="I203" t="inlineStr">
        <is>
          <t>290</t>
        </is>
      </c>
      <c r="J203" t="inlineStr">
        <is>
          <t>HL7 ValueSet expand (2026-06-09)</t>
        </is>
      </c>
      <c r="K203" t="inlineStr">
        <is>
          <t>false</t>
        </is>
      </c>
    </row>
    <row r="204">
      <c r="A204" t="inlineStr">
        <is>
          <t>Patient.race</t>
        </is>
      </c>
      <c r="B204" t="inlineStr">
        <is>
          <t>urn:oid:2.16.840.1.113883.6.238</t>
        </is>
      </c>
      <c r="C204" t="inlineStr">
        <is>
          <t>1240-1</t>
        </is>
      </c>
      <c r="D204" t="inlineStr">
        <is>
          <t>Nausu Waiwash</t>
        </is>
      </c>
      <c r="E204" t="inlineStr">
        <is>
          <t>detailed</t>
        </is>
      </c>
      <c r="F204" t="inlineStr">
        <is>
          <t>primary</t>
        </is>
      </c>
      <c r="G204" t="inlineStr">
        <is>
          <t>required</t>
        </is>
      </c>
      <c r="H204" t="inlineStr">
        <is>
          <t>true</t>
        </is>
      </c>
      <c r="I204" t="inlineStr">
        <is>
          <t>291</t>
        </is>
      </c>
      <c r="J204" t="inlineStr">
        <is>
          <t>HL7 ValueSet expand (2026-06-09)</t>
        </is>
      </c>
      <c r="K204" t="inlineStr">
        <is>
          <t>false</t>
        </is>
      </c>
    </row>
    <row r="205">
      <c r="A205" t="inlineStr">
        <is>
          <t>Patient.race</t>
        </is>
      </c>
      <c r="B205" t="inlineStr">
        <is>
          <t>urn:oid:2.16.840.1.113883.6.238</t>
        </is>
      </c>
      <c r="C205" t="inlineStr">
        <is>
          <t>1241-9</t>
        </is>
      </c>
      <c r="D205" t="inlineStr">
        <is>
          <t>Nipmuc</t>
        </is>
      </c>
      <c r="E205" t="inlineStr">
        <is>
          <t>detailed</t>
        </is>
      </c>
      <c r="F205" t="inlineStr">
        <is>
          <t>primary</t>
        </is>
      </c>
      <c r="G205" t="inlineStr">
        <is>
          <t>required</t>
        </is>
      </c>
      <c r="H205" t="inlineStr">
        <is>
          <t>true</t>
        </is>
      </c>
      <c r="I205" t="inlineStr">
        <is>
          <t>292</t>
        </is>
      </c>
      <c r="J205" t="inlineStr">
        <is>
          <t>HL7 ValueSet expand (2026-06-09)</t>
        </is>
      </c>
      <c r="K205" t="inlineStr">
        <is>
          <t>false</t>
        </is>
      </c>
    </row>
    <row r="206">
      <c r="A206" t="inlineStr">
        <is>
          <t>Patient.race</t>
        </is>
      </c>
      <c r="B206" t="inlineStr">
        <is>
          <t>urn:oid:2.16.840.1.113883.6.238</t>
        </is>
      </c>
      <c r="C206" t="inlineStr">
        <is>
          <t>1242-7</t>
        </is>
      </c>
      <c r="D206" t="inlineStr">
        <is>
          <t>Paugussett</t>
        </is>
      </c>
      <c r="E206" t="inlineStr">
        <is>
          <t>detailed</t>
        </is>
      </c>
      <c r="F206" t="inlineStr">
        <is>
          <t>primary</t>
        </is>
      </c>
      <c r="G206" t="inlineStr">
        <is>
          <t>required</t>
        </is>
      </c>
      <c r="H206" t="inlineStr">
        <is>
          <t>true</t>
        </is>
      </c>
      <c r="I206" t="inlineStr">
        <is>
          <t>293</t>
        </is>
      </c>
      <c r="J206" t="inlineStr">
        <is>
          <t>HL7 ValueSet expand (2026-06-09)</t>
        </is>
      </c>
      <c r="K206" t="inlineStr">
        <is>
          <t>false</t>
        </is>
      </c>
    </row>
    <row r="207">
      <c r="A207" t="inlineStr">
        <is>
          <t>Patient.race</t>
        </is>
      </c>
      <c r="B207" t="inlineStr">
        <is>
          <t>urn:oid:2.16.840.1.113883.6.238</t>
        </is>
      </c>
      <c r="C207" t="inlineStr">
        <is>
          <t>1243-5</t>
        </is>
      </c>
      <c r="D207" t="inlineStr">
        <is>
          <t>Pocomoke Acohonock</t>
        </is>
      </c>
      <c r="E207" t="inlineStr">
        <is>
          <t>detailed</t>
        </is>
      </c>
      <c r="F207" t="inlineStr">
        <is>
          <t>primary</t>
        </is>
      </c>
      <c r="G207" t="inlineStr">
        <is>
          <t>required</t>
        </is>
      </c>
      <c r="H207" t="inlineStr">
        <is>
          <t>true</t>
        </is>
      </c>
      <c r="I207" t="inlineStr">
        <is>
          <t>294</t>
        </is>
      </c>
      <c r="J207" t="inlineStr">
        <is>
          <t>HL7 ValueSet expand (2026-06-09)</t>
        </is>
      </c>
      <c r="K207" t="inlineStr">
        <is>
          <t>false</t>
        </is>
      </c>
    </row>
    <row r="208">
      <c r="A208" t="inlineStr">
        <is>
          <t>Patient.race</t>
        </is>
      </c>
      <c r="B208" t="inlineStr">
        <is>
          <t>urn:oid:2.16.840.1.113883.6.238</t>
        </is>
      </c>
      <c r="C208" t="inlineStr">
        <is>
          <t>1244-3</t>
        </is>
      </c>
      <c r="D208" t="inlineStr">
        <is>
          <t>Southeastern Indians</t>
        </is>
      </c>
      <c r="E208" t="inlineStr">
        <is>
          <t>detailed</t>
        </is>
      </c>
      <c r="F208" t="inlineStr">
        <is>
          <t>primary</t>
        </is>
      </c>
      <c r="G208" t="inlineStr">
        <is>
          <t>required</t>
        </is>
      </c>
      <c r="H208" t="inlineStr">
        <is>
          <t>true</t>
        </is>
      </c>
      <c r="I208" t="inlineStr">
        <is>
          <t>295</t>
        </is>
      </c>
      <c r="J208" t="inlineStr">
        <is>
          <t>HL7 ValueSet expand (2026-06-09)</t>
        </is>
      </c>
      <c r="K208" t="inlineStr">
        <is>
          <t>false</t>
        </is>
      </c>
    </row>
    <row r="209">
      <c r="A209" t="inlineStr">
        <is>
          <t>Patient.race</t>
        </is>
      </c>
      <c r="B209" t="inlineStr">
        <is>
          <t>urn:oid:2.16.840.1.113883.6.238</t>
        </is>
      </c>
      <c r="C209" t="inlineStr">
        <is>
          <t>1245-0</t>
        </is>
      </c>
      <c r="D209" t="inlineStr">
        <is>
          <t>Susquehanock</t>
        </is>
      </c>
      <c r="E209" t="inlineStr">
        <is>
          <t>detailed</t>
        </is>
      </c>
      <c r="F209" t="inlineStr">
        <is>
          <t>primary</t>
        </is>
      </c>
      <c r="G209" t="inlineStr">
        <is>
          <t>required</t>
        </is>
      </c>
      <c r="H209" t="inlineStr">
        <is>
          <t>true</t>
        </is>
      </c>
      <c r="I209" t="inlineStr">
        <is>
          <t>296</t>
        </is>
      </c>
      <c r="J209" t="inlineStr">
        <is>
          <t>HL7 ValueSet expand (2026-06-09)</t>
        </is>
      </c>
      <c r="K209" t="inlineStr">
        <is>
          <t>false</t>
        </is>
      </c>
    </row>
    <row r="210">
      <c r="A210" t="inlineStr">
        <is>
          <t>Patient.race</t>
        </is>
      </c>
      <c r="B210" t="inlineStr">
        <is>
          <t>urn:oid:2.16.840.1.113883.6.238</t>
        </is>
      </c>
      <c r="C210" t="inlineStr">
        <is>
          <t>1246-8</t>
        </is>
      </c>
      <c r="D210" t="inlineStr">
        <is>
          <t>Tunica Biloxi</t>
        </is>
      </c>
      <c r="E210" t="inlineStr">
        <is>
          <t>detailed</t>
        </is>
      </c>
      <c r="F210" t="inlineStr">
        <is>
          <t>primary</t>
        </is>
      </c>
      <c r="G210" t="inlineStr">
        <is>
          <t>required</t>
        </is>
      </c>
      <c r="H210" t="inlineStr">
        <is>
          <t>true</t>
        </is>
      </c>
      <c r="I210" t="inlineStr">
        <is>
          <t>297</t>
        </is>
      </c>
      <c r="J210" t="inlineStr">
        <is>
          <t>HL7 ValueSet expand (2026-06-09)</t>
        </is>
      </c>
      <c r="K210" t="inlineStr">
        <is>
          <t>false</t>
        </is>
      </c>
    </row>
    <row r="211">
      <c r="A211" t="inlineStr">
        <is>
          <t>Patient.race</t>
        </is>
      </c>
      <c r="B211" t="inlineStr">
        <is>
          <t>urn:oid:2.16.840.1.113883.6.238</t>
        </is>
      </c>
      <c r="C211" t="inlineStr">
        <is>
          <t>1247-6</t>
        </is>
      </c>
      <c r="D211" t="inlineStr">
        <is>
          <t>Waccamaw-Siousan</t>
        </is>
      </c>
      <c r="E211" t="inlineStr">
        <is>
          <t>detailed</t>
        </is>
      </c>
      <c r="F211" t="inlineStr">
        <is>
          <t>primary</t>
        </is>
      </c>
      <c r="G211" t="inlineStr">
        <is>
          <t>required</t>
        </is>
      </c>
      <c r="H211" t="inlineStr">
        <is>
          <t>true</t>
        </is>
      </c>
      <c r="I211" t="inlineStr">
        <is>
          <t>298</t>
        </is>
      </c>
      <c r="J211" t="inlineStr">
        <is>
          <t>HL7 ValueSet expand (2026-06-09)</t>
        </is>
      </c>
      <c r="K211" t="inlineStr">
        <is>
          <t>false</t>
        </is>
      </c>
    </row>
    <row r="212">
      <c r="A212" t="inlineStr">
        <is>
          <t>Patient.race</t>
        </is>
      </c>
      <c r="B212" t="inlineStr">
        <is>
          <t>urn:oid:2.16.840.1.113883.6.238</t>
        </is>
      </c>
      <c r="C212" t="inlineStr">
        <is>
          <t>1248-4</t>
        </is>
      </c>
      <c r="D212" t="inlineStr">
        <is>
          <t>Wicomico</t>
        </is>
      </c>
      <c r="E212" t="inlineStr">
        <is>
          <t>detailed</t>
        </is>
      </c>
      <c r="F212" t="inlineStr">
        <is>
          <t>primary</t>
        </is>
      </c>
      <c r="G212" t="inlineStr">
        <is>
          <t>required</t>
        </is>
      </c>
      <c r="H212" t="inlineStr">
        <is>
          <t>true</t>
        </is>
      </c>
      <c r="I212" t="inlineStr">
        <is>
          <t>299</t>
        </is>
      </c>
      <c r="J212" t="inlineStr">
        <is>
          <t>HL7 ValueSet expand (2026-06-09)</t>
        </is>
      </c>
      <c r="K212" t="inlineStr">
        <is>
          <t>false</t>
        </is>
      </c>
    </row>
    <row r="213">
      <c r="A213" t="inlineStr">
        <is>
          <t>Patient.race</t>
        </is>
      </c>
      <c r="B213" t="inlineStr">
        <is>
          <t>urn:oid:2.16.840.1.113883.6.238</t>
        </is>
      </c>
      <c r="C213" t="inlineStr">
        <is>
          <t>1250-0</t>
        </is>
      </c>
      <c r="D213" t="inlineStr">
        <is>
          <t>Esselen</t>
        </is>
      </c>
      <c r="E213" t="inlineStr">
        <is>
          <t>detailed</t>
        </is>
      </c>
      <c r="F213" t="inlineStr">
        <is>
          <t>primary</t>
        </is>
      </c>
      <c r="G213" t="inlineStr">
        <is>
          <t>required</t>
        </is>
      </c>
      <c r="H213" t="inlineStr">
        <is>
          <t>true</t>
        </is>
      </c>
      <c r="I213" t="inlineStr">
        <is>
          <t>300</t>
        </is>
      </c>
      <c r="J213" t="inlineStr">
        <is>
          <t>HL7 ValueSet expand (2026-06-09)</t>
        </is>
      </c>
      <c r="K213" t="inlineStr">
        <is>
          <t>false</t>
        </is>
      </c>
    </row>
    <row r="214">
      <c r="A214" t="inlineStr">
        <is>
          <t>Patient.race</t>
        </is>
      </c>
      <c r="B214" t="inlineStr">
        <is>
          <t>urn:oid:2.16.840.1.113883.6.238</t>
        </is>
      </c>
      <c r="C214" t="inlineStr">
        <is>
          <t>1252-6</t>
        </is>
      </c>
      <c r="D214" t="inlineStr">
        <is>
          <t>Fort Belknap</t>
        </is>
      </c>
      <c r="E214" t="inlineStr">
        <is>
          <t>detailed</t>
        </is>
      </c>
      <c r="F214" t="inlineStr">
        <is>
          <t>primary</t>
        </is>
      </c>
      <c r="G214" t="inlineStr">
        <is>
          <t>required</t>
        </is>
      </c>
      <c r="H214" t="inlineStr">
        <is>
          <t>true</t>
        </is>
      </c>
      <c r="I214" t="inlineStr">
        <is>
          <t>301</t>
        </is>
      </c>
      <c r="J214" t="inlineStr">
        <is>
          <t>HL7 ValueSet expand (2026-06-09)</t>
        </is>
      </c>
      <c r="K214" t="inlineStr">
        <is>
          <t>false</t>
        </is>
      </c>
    </row>
    <row r="215">
      <c r="A215" t="inlineStr">
        <is>
          <t>Patient.race</t>
        </is>
      </c>
      <c r="B215" t="inlineStr">
        <is>
          <t>urn:oid:2.16.840.1.113883.6.238</t>
        </is>
      </c>
      <c r="C215" t="inlineStr">
        <is>
          <t>1254-2</t>
        </is>
      </c>
      <c r="D215" t="inlineStr">
        <is>
          <t>Fort Berthold</t>
        </is>
      </c>
      <c r="E215" t="inlineStr">
        <is>
          <t>detailed</t>
        </is>
      </c>
      <c r="F215" t="inlineStr">
        <is>
          <t>primary</t>
        </is>
      </c>
      <c r="G215" t="inlineStr">
        <is>
          <t>required</t>
        </is>
      </c>
      <c r="H215" t="inlineStr">
        <is>
          <t>true</t>
        </is>
      </c>
      <c r="I215" t="inlineStr">
        <is>
          <t>302</t>
        </is>
      </c>
      <c r="J215" t="inlineStr">
        <is>
          <t>HL7 ValueSet expand (2026-06-09)</t>
        </is>
      </c>
      <c r="K215" t="inlineStr">
        <is>
          <t>false</t>
        </is>
      </c>
    </row>
    <row r="216">
      <c r="A216" t="inlineStr">
        <is>
          <t>Patient.race</t>
        </is>
      </c>
      <c r="B216" t="inlineStr">
        <is>
          <t>urn:oid:2.16.840.1.113883.6.238</t>
        </is>
      </c>
      <c r="C216" t="inlineStr">
        <is>
          <t>1256-7</t>
        </is>
      </c>
      <c r="D216" t="inlineStr">
        <is>
          <t>Fort Mcdowell</t>
        </is>
      </c>
      <c r="E216" t="inlineStr">
        <is>
          <t>detailed</t>
        </is>
      </c>
      <c r="F216" t="inlineStr">
        <is>
          <t>primary</t>
        </is>
      </c>
      <c r="G216" t="inlineStr">
        <is>
          <t>required</t>
        </is>
      </c>
      <c r="H216" t="inlineStr">
        <is>
          <t>true</t>
        </is>
      </c>
      <c r="I216" t="inlineStr">
        <is>
          <t>303</t>
        </is>
      </c>
      <c r="J216" t="inlineStr">
        <is>
          <t>HL7 ValueSet expand (2026-06-09)</t>
        </is>
      </c>
      <c r="K216" t="inlineStr">
        <is>
          <t>false</t>
        </is>
      </c>
    </row>
    <row r="217">
      <c r="A217" t="inlineStr">
        <is>
          <t>Patient.race</t>
        </is>
      </c>
      <c r="B217" t="inlineStr">
        <is>
          <t>urn:oid:2.16.840.1.113883.6.238</t>
        </is>
      </c>
      <c r="C217" t="inlineStr">
        <is>
          <t>1258-3</t>
        </is>
      </c>
      <c r="D217" t="inlineStr">
        <is>
          <t>Fort Hall</t>
        </is>
      </c>
      <c r="E217" t="inlineStr">
        <is>
          <t>detailed</t>
        </is>
      </c>
      <c r="F217" t="inlineStr">
        <is>
          <t>primary</t>
        </is>
      </c>
      <c r="G217" t="inlineStr">
        <is>
          <t>required</t>
        </is>
      </c>
      <c r="H217" t="inlineStr">
        <is>
          <t>true</t>
        </is>
      </c>
      <c r="I217" t="inlineStr">
        <is>
          <t>304</t>
        </is>
      </c>
      <c r="J217" t="inlineStr">
        <is>
          <t>HL7 ValueSet expand (2026-06-09)</t>
        </is>
      </c>
      <c r="K217" t="inlineStr">
        <is>
          <t>false</t>
        </is>
      </c>
    </row>
    <row r="218">
      <c r="A218" t="inlineStr">
        <is>
          <t>Patient.race</t>
        </is>
      </c>
      <c r="B218" t="inlineStr">
        <is>
          <t>urn:oid:2.16.840.1.113883.6.238</t>
        </is>
      </c>
      <c r="C218" t="inlineStr">
        <is>
          <t>1260-9</t>
        </is>
      </c>
      <c r="D218" t="inlineStr">
        <is>
          <t>Gabrieleno</t>
        </is>
      </c>
      <c r="E218" t="inlineStr">
        <is>
          <t>detailed</t>
        </is>
      </c>
      <c r="F218" t="inlineStr">
        <is>
          <t>primary</t>
        </is>
      </c>
      <c r="G218" t="inlineStr">
        <is>
          <t>required</t>
        </is>
      </c>
      <c r="H218" t="inlineStr">
        <is>
          <t>true</t>
        </is>
      </c>
      <c r="I218" t="inlineStr">
        <is>
          <t>305</t>
        </is>
      </c>
      <c r="J218" t="inlineStr">
        <is>
          <t>HL7 ValueSet expand (2026-06-09)</t>
        </is>
      </c>
      <c r="K218" t="inlineStr">
        <is>
          <t>false</t>
        </is>
      </c>
    </row>
    <row r="219">
      <c r="A219" t="inlineStr">
        <is>
          <t>Patient.race</t>
        </is>
      </c>
      <c r="B219" t="inlineStr">
        <is>
          <t>urn:oid:2.16.840.1.113883.6.238</t>
        </is>
      </c>
      <c r="C219" t="inlineStr">
        <is>
          <t>1262-5</t>
        </is>
      </c>
      <c r="D219" t="inlineStr">
        <is>
          <t>Grand Ronde</t>
        </is>
      </c>
      <c r="E219" t="inlineStr">
        <is>
          <t>detailed</t>
        </is>
      </c>
      <c r="F219" t="inlineStr">
        <is>
          <t>primary</t>
        </is>
      </c>
      <c r="G219" t="inlineStr">
        <is>
          <t>required</t>
        </is>
      </c>
      <c r="H219" t="inlineStr">
        <is>
          <t>true</t>
        </is>
      </c>
      <c r="I219" t="inlineStr">
        <is>
          <t>306</t>
        </is>
      </c>
      <c r="J219" t="inlineStr">
        <is>
          <t>HL7 ValueSet expand (2026-06-09)</t>
        </is>
      </c>
      <c r="K219" t="inlineStr">
        <is>
          <t>false</t>
        </is>
      </c>
    </row>
    <row r="220">
      <c r="A220" t="inlineStr">
        <is>
          <t>Patient.race</t>
        </is>
      </c>
      <c r="B220" t="inlineStr">
        <is>
          <t>urn:oid:2.16.840.1.113883.6.238</t>
        </is>
      </c>
      <c r="C220" t="inlineStr">
        <is>
          <t>1264-1</t>
        </is>
      </c>
      <c r="D220" t="inlineStr">
        <is>
          <t>Gros Ventres</t>
        </is>
      </c>
      <c r="E220" t="inlineStr">
        <is>
          <t>detailed</t>
        </is>
      </c>
      <c r="F220" t="inlineStr">
        <is>
          <t>primary</t>
        </is>
      </c>
      <c r="G220" t="inlineStr">
        <is>
          <t>required</t>
        </is>
      </c>
      <c r="H220" t="inlineStr">
        <is>
          <t>true</t>
        </is>
      </c>
      <c r="I220" t="inlineStr">
        <is>
          <t>307</t>
        </is>
      </c>
      <c r="J220" t="inlineStr">
        <is>
          <t>HL7 ValueSet expand (2026-06-09)</t>
        </is>
      </c>
      <c r="K220" t="inlineStr">
        <is>
          <t>false</t>
        </is>
      </c>
    </row>
    <row r="221">
      <c r="A221" t="inlineStr">
        <is>
          <t>Patient.race</t>
        </is>
      </c>
      <c r="B221" t="inlineStr">
        <is>
          <t>urn:oid:2.16.840.1.113883.6.238</t>
        </is>
      </c>
      <c r="C221" t="inlineStr">
        <is>
          <t>1265-8</t>
        </is>
      </c>
      <c r="D221" t="inlineStr">
        <is>
          <t>Atsina</t>
        </is>
      </c>
      <c r="E221" t="inlineStr">
        <is>
          <t>detailed</t>
        </is>
      </c>
      <c r="F221" t="inlineStr">
        <is>
          <t>primary</t>
        </is>
      </c>
      <c r="G221" t="inlineStr">
        <is>
          <t>required</t>
        </is>
      </c>
      <c r="H221" t="inlineStr">
        <is>
          <t>true</t>
        </is>
      </c>
      <c r="I221" t="inlineStr">
        <is>
          <t>308</t>
        </is>
      </c>
      <c r="J221" t="inlineStr">
        <is>
          <t>HL7 ValueSet expand (2026-06-09)</t>
        </is>
      </c>
      <c r="K221" t="inlineStr">
        <is>
          <t>false</t>
        </is>
      </c>
    </row>
    <row r="222">
      <c r="A222" t="inlineStr">
        <is>
          <t>Patient.race</t>
        </is>
      </c>
      <c r="B222" t="inlineStr">
        <is>
          <t>urn:oid:2.16.840.1.113883.6.238</t>
        </is>
      </c>
      <c r="C222" t="inlineStr">
        <is>
          <t>1267-4</t>
        </is>
      </c>
      <c r="D222" t="inlineStr">
        <is>
          <t>Haliwa</t>
        </is>
      </c>
      <c r="E222" t="inlineStr">
        <is>
          <t>detailed</t>
        </is>
      </c>
      <c r="F222" t="inlineStr">
        <is>
          <t>primary</t>
        </is>
      </c>
      <c r="G222" t="inlineStr">
        <is>
          <t>required</t>
        </is>
      </c>
      <c r="H222" t="inlineStr">
        <is>
          <t>true</t>
        </is>
      </c>
      <c r="I222" t="inlineStr">
        <is>
          <t>309</t>
        </is>
      </c>
      <c r="J222" t="inlineStr">
        <is>
          <t>HL7 ValueSet expand (2026-06-09)</t>
        </is>
      </c>
      <c r="K222" t="inlineStr">
        <is>
          <t>false</t>
        </is>
      </c>
    </row>
    <row r="223">
      <c r="A223" t="inlineStr">
        <is>
          <t>Patient.race</t>
        </is>
      </c>
      <c r="B223" t="inlineStr">
        <is>
          <t>urn:oid:2.16.840.1.113883.6.238</t>
        </is>
      </c>
      <c r="C223" t="inlineStr">
        <is>
          <t>1269-0</t>
        </is>
      </c>
      <c r="D223" t="inlineStr">
        <is>
          <t>Hidatsa</t>
        </is>
      </c>
      <c r="E223" t="inlineStr">
        <is>
          <t>detailed</t>
        </is>
      </c>
      <c r="F223" t="inlineStr">
        <is>
          <t>primary</t>
        </is>
      </c>
      <c r="G223" t="inlineStr">
        <is>
          <t>required</t>
        </is>
      </c>
      <c r="H223" t="inlineStr">
        <is>
          <t>true</t>
        </is>
      </c>
      <c r="I223" t="inlineStr">
        <is>
          <t>310</t>
        </is>
      </c>
      <c r="J223" t="inlineStr">
        <is>
          <t>HL7 ValueSet expand (2026-06-09)</t>
        </is>
      </c>
      <c r="K223" t="inlineStr">
        <is>
          <t>false</t>
        </is>
      </c>
    </row>
    <row r="224">
      <c r="A224" t="inlineStr">
        <is>
          <t>Patient.race</t>
        </is>
      </c>
      <c r="B224" t="inlineStr">
        <is>
          <t>urn:oid:2.16.840.1.113883.6.238</t>
        </is>
      </c>
      <c r="C224" t="inlineStr">
        <is>
          <t>1271-6</t>
        </is>
      </c>
      <c r="D224" t="inlineStr">
        <is>
          <t>Hoopa</t>
        </is>
      </c>
      <c r="E224" t="inlineStr">
        <is>
          <t>detailed</t>
        </is>
      </c>
      <c r="F224" t="inlineStr">
        <is>
          <t>primary</t>
        </is>
      </c>
      <c r="G224" t="inlineStr">
        <is>
          <t>required</t>
        </is>
      </c>
      <c r="H224" t="inlineStr">
        <is>
          <t>true</t>
        </is>
      </c>
      <c r="I224" t="inlineStr">
        <is>
          <t>311</t>
        </is>
      </c>
      <c r="J224" t="inlineStr">
        <is>
          <t>HL7 ValueSet expand (2026-06-09)</t>
        </is>
      </c>
      <c r="K224" t="inlineStr">
        <is>
          <t>false</t>
        </is>
      </c>
    </row>
    <row r="225">
      <c r="A225" t="inlineStr">
        <is>
          <t>Patient.race</t>
        </is>
      </c>
      <c r="B225" t="inlineStr">
        <is>
          <t>urn:oid:2.16.840.1.113883.6.238</t>
        </is>
      </c>
      <c r="C225" t="inlineStr">
        <is>
          <t>1272-4</t>
        </is>
      </c>
      <c r="D225" t="inlineStr">
        <is>
          <t>Trinity</t>
        </is>
      </c>
      <c r="E225" t="inlineStr">
        <is>
          <t>detailed</t>
        </is>
      </c>
      <c r="F225" t="inlineStr">
        <is>
          <t>primary</t>
        </is>
      </c>
      <c r="G225" t="inlineStr">
        <is>
          <t>required</t>
        </is>
      </c>
      <c r="H225" t="inlineStr">
        <is>
          <t>true</t>
        </is>
      </c>
      <c r="I225" t="inlineStr">
        <is>
          <t>312</t>
        </is>
      </c>
      <c r="J225" t="inlineStr">
        <is>
          <t>HL7 ValueSet expand (2026-06-09)</t>
        </is>
      </c>
      <c r="K225" t="inlineStr">
        <is>
          <t>false</t>
        </is>
      </c>
    </row>
    <row r="226">
      <c r="A226" t="inlineStr">
        <is>
          <t>Patient.race</t>
        </is>
      </c>
      <c r="B226" t="inlineStr">
        <is>
          <t>urn:oid:2.16.840.1.113883.6.238</t>
        </is>
      </c>
      <c r="C226" t="inlineStr">
        <is>
          <t>1273-2</t>
        </is>
      </c>
      <c r="D226" t="inlineStr">
        <is>
          <t>Whilkut</t>
        </is>
      </c>
      <c r="E226" t="inlineStr">
        <is>
          <t>detailed</t>
        </is>
      </c>
      <c r="F226" t="inlineStr">
        <is>
          <t>primary</t>
        </is>
      </c>
      <c r="G226" t="inlineStr">
        <is>
          <t>required</t>
        </is>
      </c>
      <c r="H226" t="inlineStr">
        <is>
          <t>true</t>
        </is>
      </c>
      <c r="I226" t="inlineStr">
        <is>
          <t>313</t>
        </is>
      </c>
      <c r="J226" t="inlineStr">
        <is>
          <t>HL7 ValueSet expand (2026-06-09)</t>
        </is>
      </c>
      <c r="K226" t="inlineStr">
        <is>
          <t>false</t>
        </is>
      </c>
    </row>
    <row r="227">
      <c r="A227" t="inlineStr">
        <is>
          <t>Patient.race</t>
        </is>
      </c>
      <c r="B227" t="inlineStr">
        <is>
          <t>urn:oid:2.16.840.1.113883.6.238</t>
        </is>
      </c>
      <c r="C227" t="inlineStr">
        <is>
          <t>1275-7</t>
        </is>
      </c>
      <c r="D227" t="inlineStr">
        <is>
          <t>Hoopa Extension</t>
        </is>
      </c>
      <c r="E227" t="inlineStr">
        <is>
          <t>detailed</t>
        </is>
      </c>
      <c r="F227" t="inlineStr">
        <is>
          <t>primary</t>
        </is>
      </c>
      <c r="G227" t="inlineStr">
        <is>
          <t>required</t>
        </is>
      </c>
      <c r="H227" t="inlineStr">
        <is>
          <t>true</t>
        </is>
      </c>
      <c r="I227" t="inlineStr">
        <is>
          <t>314</t>
        </is>
      </c>
      <c r="J227" t="inlineStr">
        <is>
          <t>HL7 ValueSet expand (2026-06-09)</t>
        </is>
      </c>
      <c r="K227" t="inlineStr">
        <is>
          <t>false</t>
        </is>
      </c>
    </row>
    <row r="228">
      <c r="A228" t="inlineStr">
        <is>
          <t>Patient.race</t>
        </is>
      </c>
      <c r="B228" t="inlineStr">
        <is>
          <t>urn:oid:2.16.840.1.113883.6.238</t>
        </is>
      </c>
      <c r="C228" t="inlineStr">
        <is>
          <t>1277-3</t>
        </is>
      </c>
      <c r="D228" t="inlineStr">
        <is>
          <t>Houma</t>
        </is>
      </c>
      <c r="E228" t="inlineStr">
        <is>
          <t>detailed</t>
        </is>
      </c>
      <c r="F228" t="inlineStr">
        <is>
          <t>primary</t>
        </is>
      </c>
      <c r="G228" t="inlineStr">
        <is>
          <t>required</t>
        </is>
      </c>
      <c r="H228" t="inlineStr">
        <is>
          <t>true</t>
        </is>
      </c>
      <c r="I228" t="inlineStr">
        <is>
          <t>315</t>
        </is>
      </c>
      <c r="J228" t="inlineStr">
        <is>
          <t>HL7 ValueSet expand (2026-06-09)</t>
        </is>
      </c>
      <c r="K228" t="inlineStr">
        <is>
          <t>false</t>
        </is>
      </c>
    </row>
    <row r="229">
      <c r="A229" t="inlineStr">
        <is>
          <t>Patient.race</t>
        </is>
      </c>
      <c r="B229" t="inlineStr">
        <is>
          <t>urn:oid:2.16.840.1.113883.6.238</t>
        </is>
      </c>
      <c r="C229" t="inlineStr">
        <is>
          <t>1279-9</t>
        </is>
      </c>
      <c r="D229" t="inlineStr">
        <is>
          <t>Inaja-Cosmit</t>
        </is>
      </c>
      <c r="E229" t="inlineStr">
        <is>
          <t>detailed</t>
        </is>
      </c>
      <c r="F229" t="inlineStr">
        <is>
          <t>primary</t>
        </is>
      </c>
      <c r="G229" t="inlineStr">
        <is>
          <t>required</t>
        </is>
      </c>
      <c r="H229" t="inlineStr">
        <is>
          <t>true</t>
        </is>
      </c>
      <c r="I229" t="inlineStr">
        <is>
          <t>316</t>
        </is>
      </c>
      <c r="J229" t="inlineStr">
        <is>
          <t>HL7 ValueSet expand (2026-06-09)</t>
        </is>
      </c>
      <c r="K229" t="inlineStr">
        <is>
          <t>false</t>
        </is>
      </c>
    </row>
    <row r="230">
      <c r="A230" t="inlineStr">
        <is>
          <t>Patient.race</t>
        </is>
      </c>
      <c r="B230" t="inlineStr">
        <is>
          <t>urn:oid:2.16.840.1.113883.6.238</t>
        </is>
      </c>
      <c r="C230" t="inlineStr">
        <is>
          <t>1281-5</t>
        </is>
      </c>
      <c r="D230" t="inlineStr">
        <is>
          <t>Iowa</t>
        </is>
      </c>
      <c r="E230" t="inlineStr">
        <is>
          <t>detailed</t>
        </is>
      </c>
      <c r="F230" t="inlineStr">
        <is>
          <t>primary</t>
        </is>
      </c>
      <c r="G230" t="inlineStr">
        <is>
          <t>required</t>
        </is>
      </c>
      <c r="H230" t="inlineStr">
        <is>
          <t>true</t>
        </is>
      </c>
      <c r="I230" t="inlineStr">
        <is>
          <t>317</t>
        </is>
      </c>
      <c r="J230" t="inlineStr">
        <is>
          <t>HL7 ValueSet expand (2026-06-09)</t>
        </is>
      </c>
      <c r="K230" t="inlineStr">
        <is>
          <t>false</t>
        </is>
      </c>
    </row>
    <row r="231">
      <c r="A231" t="inlineStr">
        <is>
          <t>Patient.race</t>
        </is>
      </c>
      <c r="B231" t="inlineStr">
        <is>
          <t>urn:oid:2.16.840.1.113883.6.238</t>
        </is>
      </c>
      <c r="C231" t="inlineStr">
        <is>
          <t>1282-3</t>
        </is>
      </c>
      <c r="D231" t="inlineStr">
        <is>
          <t>Iowa of Kansas-Nebraska</t>
        </is>
      </c>
      <c r="E231" t="inlineStr">
        <is>
          <t>detailed</t>
        </is>
      </c>
      <c r="F231" t="inlineStr">
        <is>
          <t>primary</t>
        </is>
      </c>
      <c r="G231" t="inlineStr">
        <is>
          <t>required</t>
        </is>
      </c>
      <c r="H231" t="inlineStr">
        <is>
          <t>true</t>
        </is>
      </c>
      <c r="I231" t="inlineStr">
        <is>
          <t>318</t>
        </is>
      </c>
      <c r="J231" t="inlineStr">
        <is>
          <t>HL7 ValueSet expand (2026-06-09)</t>
        </is>
      </c>
      <c r="K231" t="inlineStr">
        <is>
          <t>false</t>
        </is>
      </c>
    </row>
    <row r="232">
      <c r="A232" t="inlineStr">
        <is>
          <t>Patient.race</t>
        </is>
      </c>
      <c r="B232" t="inlineStr">
        <is>
          <t>urn:oid:2.16.840.1.113883.6.238</t>
        </is>
      </c>
      <c r="C232" t="inlineStr">
        <is>
          <t>1283-1</t>
        </is>
      </c>
      <c r="D232" t="inlineStr">
        <is>
          <t>Iowa of Oklahoma</t>
        </is>
      </c>
      <c r="E232" t="inlineStr">
        <is>
          <t>detailed</t>
        </is>
      </c>
      <c r="F232" t="inlineStr">
        <is>
          <t>primary</t>
        </is>
      </c>
      <c r="G232" t="inlineStr">
        <is>
          <t>required</t>
        </is>
      </c>
      <c r="H232" t="inlineStr">
        <is>
          <t>true</t>
        </is>
      </c>
      <c r="I232" t="inlineStr">
        <is>
          <t>319</t>
        </is>
      </c>
      <c r="J232" t="inlineStr">
        <is>
          <t>HL7 ValueSet expand (2026-06-09)</t>
        </is>
      </c>
      <c r="K232" t="inlineStr">
        <is>
          <t>false</t>
        </is>
      </c>
    </row>
    <row r="233">
      <c r="A233" t="inlineStr">
        <is>
          <t>Patient.race</t>
        </is>
      </c>
      <c r="B233" t="inlineStr">
        <is>
          <t>urn:oid:2.16.840.1.113883.6.238</t>
        </is>
      </c>
      <c r="C233" t="inlineStr">
        <is>
          <t>1285-6</t>
        </is>
      </c>
      <c r="D233" t="inlineStr">
        <is>
          <t>Iroquois</t>
        </is>
      </c>
      <c r="E233" t="inlineStr">
        <is>
          <t>detailed</t>
        </is>
      </c>
      <c r="F233" t="inlineStr">
        <is>
          <t>primary</t>
        </is>
      </c>
      <c r="G233" t="inlineStr">
        <is>
          <t>required</t>
        </is>
      </c>
      <c r="H233" t="inlineStr">
        <is>
          <t>true</t>
        </is>
      </c>
      <c r="I233" t="inlineStr">
        <is>
          <t>320</t>
        </is>
      </c>
      <c r="J233" t="inlineStr">
        <is>
          <t>HL7 ValueSet expand (2026-06-09)</t>
        </is>
      </c>
      <c r="K233" t="inlineStr">
        <is>
          <t>false</t>
        </is>
      </c>
    </row>
    <row r="234">
      <c r="A234" t="inlineStr">
        <is>
          <t>Patient.race</t>
        </is>
      </c>
      <c r="B234" t="inlineStr">
        <is>
          <t>urn:oid:2.16.840.1.113883.6.238</t>
        </is>
      </c>
      <c r="C234" t="inlineStr">
        <is>
          <t>1286-4</t>
        </is>
      </c>
      <c r="D234" t="inlineStr">
        <is>
          <t>Cayuga</t>
        </is>
      </c>
      <c r="E234" t="inlineStr">
        <is>
          <t>detailed</t>
        </is>
      </c>
      <c r="F234" t="inlineStr">
        <is>
          <t>primary</t>
        </is>
      </c>
      <c r="G234" t="inlineStr">
        <is>
          <t>required</t>
        </is>
      </c>
      <c r="H234" t="inlineStr">
        <is>
          <t>true</t>
        </is>
      </c>
      <c r="I234" t="inlineStr">
        <is>
          <t>321</t>
        </is>
      </c>
      <c r="J234" t="inlineStr">
        <is>
          <t>HL7 ValueSet expand (2026-06-09)</t>
        </is>
      </c>
      <c r="K234" t="inlineStr">
        <is>
          <t>false</t>
        </is>
      </c>
    </row>
    <row r="235">
      <c r="A235" t="inlineStr">
        <is>
          <t>Patient.race</t>
        </is>
      </c>
      <c r="B235" t="inlineStr">
        <is>
          <t>urn:oid:2.16.840.1.113883.6.238</t>
        </is>
      </c>
      <c r="C235" t="inlineStr">
        <is>
          <t>1287-2</t>
        </is>
      </c>
      <c r="D235" t="inlineStr">
        <is>
          <t>Mohawk</t>
        </is>
      </c>
      <c r="E235" t="inlineStr">
        <is>
          <t>detailed</t>
        </is>
      </c>
      <c r="F235" t="inlineStr">
        <is>
          <t>primary</t>
        </is>
      </c>
      <c r="G235" t="inlineStr">
        <is>
          <t>required</t>
        </is>
      </c>
      <c r="H235" t="inlineStr">
        <is>
          <t>true</t>
        </is>
      </c>
      <c r="I235" t="inlineStr">
        <is>
          <t>322</t>
        </is>
      </c>
      <c r="J235" t="inlineStr">
        <is>
          <t>HL7 ValueSet expand (2026-06-09)</t>
        </is>
      </c>
      <c r="K235" t="inlineStr">
        <is>
          <t>false</t>
        </is>
      </c>
    </row>
    <row r="236">
      <c r="A236" t="inlineStr">
        <is>
          <t>Patient.race</t>
        </is>
      </c>
      <c r="B236" t="inlineStr">
        <is>
          <t>urn:oid:2.16.840.1.113883.6.238</t>
        </is>
      </c>
      <c r="C236" t="inlineStr">
        <is>
          <t>1288-0</t>
        </is>
      </c>
      <c r="D236" t="inlineStr">
        <is>
          <t>Oneida</t>
        </is>
      </c>
      <c r="E236" t="inlineStr">
        <is>
          <t>detailed</t>
        </is>
      </c>
      <c r="F236" t="inlineStr">
        <is>
          <t>primary</t>
        </is>
      </c>
      <c r="G236" t="inlineStr">
        <is>
          <t>required</t>
        </is>
      </c>
      <c r="H236" t="inlineStr">
        <is>
          <t>true</t>
        </is>
      </c>
      <c r="I236" t="inlineStr">
        <is>
          <t>323</t>
        </is>
      </c>
      <c r="J236" t="inlineStr">
        <is>
          <t>HL7 ValueSet expand (2026-06-09)</t>
        </is>
      </c>
      <c r="K236" t="inlineStr">
        <is>
          <t>false</t>
        </is>
      </c>
    </row>
    <row r="237">
      <c r="A237" t="inlineStr">
        <is>
          <t>Patient.race</t>
        </is>
      </c>
      <c r="B237" t="inlineStr">
        <is>
          <t>urn:oid:2.16.840.1.113883.6.238</t>
        </is>
      </c>
      <c r="C237" t="inlineStr">
        <is>
          <t>1289-8</t>
        </is>
      </c>
      <c r="D237" t="inlineStr">
        <is>
          <t>Onondaga</t>
        </is>
      </c>
      <c r="E237" t="inlineStr">
        <is>
          <t>detailed</t>
        </is>
      </c>
      <c r="F237" t="inlineStr">
        <is>
          <t>primary</t>
        </is>
      </c>
      <c r="G237" t="inlineStr">
        <is>
          <t>required</t>
        </is>
      </c>
      <c r="H237" t="inlineStr">
        <is>
          <t>true</t>
        </is>
      </c>
      <c r="I237" t="inlineStr">
        <is>
          <t>324</t>
        </is>
      </c>
      <c r="J237" t="inlineStr">
        <is>
          <t>HL7 ValueSet expand (2026-06-09)</t>
        </is>
      </c>
      <c r="K237" t="inlineStr">
        <is>
          <t>false</t>
        </is>
      </c>
    </row>
    <row r="238">
      <c r="A238" t="inlineStr">
        <is>
          <t>Patient.race</t>
        </is>
      </c>
      <c r="B238" t="inlineStr">
        <is>
          <t>urn:oid:2.16.840.1.113883.6.238</t>
        </is>
      </c>
      <c r="C238" t="inlineStr">
        <is>
          <t>1290-6</t>
        </is>
      </c>
      <c r="D238" t="inlineStr">
        <is>
          <t>Seneca</t>
        </is>
      </c>
      <c r="E238" t="inlineStr">
        <is>
          <t>detailed</t>
        </is>
      </c>
      <c r="F238" t="inlineStr">
        <is>
          <t>primary</t>
        </is>
      </c>
      <c r="G238" t="inlineStr">
        <is>
          <t>required</t>
        </is>
      </c>
      <c r="H238" t="inlineStr">
        <is>
          <t>true</t>
        </is>
      </c>
      <c r="I238" t="inlineStr">
        <is>
          <t>325</t>
        </is>
      </c>
      <c r="J238" t="inlineStr">
        <is>
          <t>HL7 ValueSet expand (2026-06-09)</t>
        </is>
      </c>
      <c r="K238" t="inlineStr">
        <is>
          <t>false</t>
        </is>
      </c>
    </row>
    <row r="239">
      <c r="A239" t="inlineStr">
        <is>
          <t>Patient.race</t>
        </is>
      </c>
      <c r="B239" t="inlineStr">
        <is>
          <t>urn:oid:2.16.840.1.113883.6.238</t>
        </is>
      </c>
      <c r="C239" t="inlineStr">
        <is>
          <t>1291-4</t>
        </is>
      </c>
      <c r="D239" t="inlineStr">
        <is>
          <t>Seneca Nation</t>
        </is>
      </c>
      <c r="E239" t="inlineStr">
        <is>
          <t>detailed</t>
        </is>
      </c>
      <c r="F239" t="inlineStr">
        <is>
          <t>primary</t>
        </is>
      </c>
      <c r="G239" t="inlineStr">
        <is>
          <t>required</t>
        </is>
      </c>
      <c r="H239" t="inlineStr">
        <is>
          <t>true</t>
        </is>
      </c>
      <c r="I239" t="inlineStr">
        <is>
          <t>326</t>
        </is>
      </c>
      <c r="J239" t="inlineStr">
        <is>
          <t>HL7 ValueSet expand (2026-06-09)</t>
        </is>
      </c>
      <c r="K239" t="inlineStr">
        <is>
          <t>false</t>
        </is>
      </c>
    </row>
    <row r="240">
      <c r="A240" t="inlineStr">
        <is>
          <t>Patient.race</t>
        </is>
      </c>
      <c r="B240" t="inlineStr">
        <is>
          <t>urn:oid:2.16.840.1.113883.6.238</t>
        </is>
      </c>
      <c r="C240" t="inlineStr">
        <is>
          <t>1292-2</t>
        </is>
      </c>
      <c r="D240" t="inlineStr">
        <is>
          <t>Seneca-Cayuga</t>
        </is>
      </c>
      <c r="E240" t="inlineStr">
        <is>
          <t>detailed</t>
        </is>
      </c>
      <c r="F240" t="inlineStr">
        <is>
          <t>primary</t>
        </is>
      </c>
      <c r="G240" t="inlineStr">
        <is>
          <t>required</t>
        </is>
      </c>
      <c r="H240" t="inlineStr">
        <is>
          <t>true</t>
        </is>
      </c>
      <c r="I240" t="inlineStr">
        <is>
          <t>327</t>
        </is>
      </c>
      <c r="J240" t="inlineStr">
        <is>
          <t>HL7 ValueSet expand (2026-06-09)</t>
        </is>
      </c>
      <c r="K240" t="inlineStr">
        <is>
          <t>false</t>
        </is>
      </c>
    </row>
    <row r="241">
      <c r="A241" t="inlineStr">
        <is>
          <t>Patient.race</t>
        </is>
      </c>
      <c r="B241" t="inlineStr">
        <is>
          <t>urn:oid:2.16.840.1.113883.6.238</t>
        </is>
      </c>
      <c r="C241" t="inlineStr">
        <is>
          <t>1293-0</t>
        </is>
      </c>
      <c r="D241" t="inlineStr">
        <is>
          <t>Tonawanda Seneca</t>
        </is>
      </c>
      <c r="E241" t="inlineStr">
        <is>
          <t>detailed</t>
        </is>
      </c>
      <c r="F241" t="inlineStr">
        <is>
          <t>primary</t>
        </is>
      </c>
      <c r="G241" t="inlineStr">
        <is>
          <t>required</t>
        </is>
      </c>
      <c r="H241" t="inlineStr">
        <is>
          <t>true</t>
        </is>
      </c>
      <c r="I241" t="inlineStr">
        <is>
          <t>328</t>
        </is>
      </c>
      <c r="J241" t="inlineStr">
        <is>
          <t>HL7 ValueSet expand (2026-06-09)</t>
        </is>
      </c>
      <c r="K241" t="inlineStr">
        <is>
          <t>false</t>
        </is>
      </c>
    </row>
    <row r="242">
      <c r="A242" t="inlineStr">
        <is>
          <t>Patient.race</t>
        </is>
      </c>
      <c r="B242" t="inlineStr">
        <is>
          <t>urn:oid:2.16.840.1.113883.6.238</t>
        </is>
      </c>
      <c r="C242" t="inlineStr">
        <is>
          <t>1294-8</t>
        </is>
      </c>
      <c r="D242" t="inlineStr">
        <is>
          <t>Tuscarora</t>
        </is>
      </c>
      <c r="E242" t="inlineStr">
        <is>
          <t>detailed</t>
        </is>
      </c>
      <c r="F242" t="inlineStr">
        <is>
          <t>primary</t>
        </is>
      </c>
      <c r="G242" t="inlineStr">
        <is>
          <t>required</t>
        </is>
      </c>
      <c r="H242" t="inlineStr">
        <is>
          <t>true</t>
        </is>
      </c>
      <c r="I242" t="inlineStr">
        <is>
          <t>329</t>
        </is>
      </c>
      <c r="J242" t="inlineStr">
        <is>
          <t>HL7 ValueSet expand (2026-06-09)</t>
        </is>
      </c>
      <c r="K242" t="inlineStr">
        <is>
          <t>false</t>
        </is>
      </c>
    </row>
    <row r="243">
      <c r="A243" t="inlineStr">
        <is>
          <t>Patient.race</t>
        </is>
      </c>
      <c r="B243" t="inlineStr">
        <is>
          <t>urn:oid:2.16.840.1.113883.6.238</t>
        </is>
      </c>
      <c r="C243" t="inlineStr">
        <is>
          <t>1295-5</t>
        </is>
      </c>
      <c r="D243" t="inlineStr">
        <is>
          <t>Wyandotte</t>
        </is>
      </c>
      <c r="E243" t="inlineStr">
        <is>
          <t>detailed</t>
        </is>
      </c>
      <c r="F243" t="inlineStr">
        <is>
          <t>primary</t>
        </is>
      </c>
      <c r="G243" t="inlineStr">
        <is>
          <t>required</t>
        </is>
      </c>
      <c r="H243" t="inlineStr">
        <is>
          <t>true</t>
        </is>
      </c>
      <c r="I243" t="inlineStr">
        <is>
          <t>330</t>
        </is>
      </c>
      <c r="J243" t="inlineStr">
        <is>
          <t>HL7 ValueSet expand (2026-06-09)</t>
        </is>
      </c>
      <c r="K243" t="inlineStr">
        <is>
          <t>false</t>
        </is>
      </c>
    </row>
    <row r="244">
      <c r="A244" t="inlineStr">
        <is>
          <t>Patient.race</t>
        </is>
      </c>
      <c r="B244" t="inlineStr">
        <is>
          <t>urn:oid:2.16.840.1.113883.6.238</t>
        </is>
      </c>
      <c r="C244" t="inlineStr">
        <is>
          <t>1297-1</t>
        </is>
      </c>
      <c r="D244" t="inlineStr">
        <is>
          <t>Juaneno</t>
        </is>
      </c>
      <c r="E244" t="inlineStr">
        <is>
          <t>detailed</t>
        </is>
      </c>
      <c r="F244" t="inlineStr">
        <is>
          <t>primary</t>
        </is>
      </c>
      <c r="G244" t="inlineStr">
        <is>
          <t>required</t>
        </is>
      </c>
      <c r="H244" t="inlineStr">
        <is>
          <t>true</t>
        </is>
      </c>
      <c r="I244" t="inlineStr">
        <is>
          <t>331</t>
        </is>
      </c>
      <c r="J244" t="inlineStr">
        <is>
          <t>HL7 ValueSet expand (2026-06-09)</t>
        </is>
      </c>
      <c r="K244" t="inlineStr">
        <is>
          <t>false</t>
        </is>
      </c>
    </row>
    <row r="245">
      <c r="A245" t="inlineStr">
        <is>
          <t>Patient.race</t>
        </is>
      </c>
      <c r="B245" t="inlineStr">
        <is>
          <t>urn:oid:2.16.840.1.113883.6.238</t>
        </is>
      </c>
      <c r="C245" t="inlineStr">
        <is>
          <t>1299-7</t>
        </is>
      </c>
      <c r="D245" t="inlineStr">
        <is>
          <t>Kalispel</t>
        </is>
      </c>
      <c r="E245" t="inlineStr">
        <is>
          <t>detailed</t>
        </is>
      </c>
      <c r="F245" t="inlineStr">
        <is>
          <t>primary</t>
        </is>
      </c>
      <c r="G245" t="inlineStr">
        <is>
          <t>required</t>
        </is>
      </c>
      <c r="H245" t="inlineStr">
        <is>
          <t>true</t>
        </is>
      </c>
      <c r="I245" t="inlineStr">
        <is>
          <t>332</t>
        </is>
      </c>
      <c r="J245" t="inlineStr">
        <is>
          <t>HL7 ValueSet expand (2026-06-09)</t>
        </is>
      </c>
      <c r="K245" t="inlineStr">
        <is>
          <t>false</t>
        </is>
      </c>
    </row>
    <row r="246">
      <c r="A246" t="inlineStr">
        <is>
          <t>Patient.race</t>
        </is>
      </c>
      <c r="B246" t="inlineStr">
        <is>
          <t>urn:oid:2.16.840.1.113883.6.238</t>
        </is>
      </c>
      <c r="C246" t="inlineStr">
        <is>
          <t>1301-1</t>
        </is>
      </c>
      <c r="D246" t="inlineStr">
        <is>
          <t>Karuk</t>
        </is>
      </c>
      <c r="E246" t="inlineStr">
        <is>
          <t>detailed</t>
        </is>
      </c>
      <c r="F246" t="inlineStr">
        <is>
          <t>primary</t>
        </is>
      </c>
      <c r="G246" t="inlineStr">
        <is>
          <t>required</t>
        </is>
      </c>
      <c r="H246" t="inlineStr">
        <is>
          <t>true</t>
        </is>
      </c>
      <c r="I246" t="inlineStr">
        <is>
          <t>333</t>
        </is>
      </c>
      <c r="J246" t="inlineStr">
        <is>
          <t>HL7 ValueSet expand (2026-06-09)</t>
        </is>
      </c>
      <c r="K246" t="inlineStr">
        <is>
          <t>false</t>
        </is>
      </c>
    </row>
    <row r="247">
      <c r="A247" t="inlineStr">
        <is>
          <t>Patient.race</t>
        </is>
      </c>
      <c r="B247" t="inlineStr">
        <is>
          <t>urn:oid:2.16.840.1.113883.6.238</t>
        </is>
      </c>
      <c r="C247" t="inlineStr">
        <is>
          <t>1303-7</t>
        </is>
      </c>
      <c r="D247" t="inlineStr">
        <is>
          <t>Kaw</t>
        </is>
      </c>
      <c r="E247" t="inlineStr">
        <is>
          <t>detailed</t>
        </is>
      </c>
      <c r="F247" t="inlineStr">
        <is>
          <t>primary</t>
        </is>
      </c>
      <c r="G247" t="inlineStr">
        <is>
          <t>required</t>
        </is>
      </c>
      <c r="H247" t="inlineStr">
        <is>
          <t>true</t>
        </is>
      </c>
      <c r="I247" t="inlineStr">
        <is>
          <t>334</t>
        </is>
      </c>
      <c r="J247" t="inlineStr">
        <is>
          <t>HL7 ValueSet expand (2026-06-09)</t>
        </is>
      </c>
      <c r="K247" t="inlineStr">
        <is>
          <t>false</t>
        </is>
      </c>
    </row>
    <row r="248">
      <c r="A248" t="inlineStr">
        <is>
          <t>Patient.race</t>
        </is>
      </c>
      <c r="B248" t="inlineStr">
        <is>
          <t>urn:oid:2.16.840.1.113883.6.238</t>
        </is>
      </c>
      <c r="C248" t="inlineStr">
        <is>
          <t>1305-2</t>
        </is>
      </c>
      <c r="D248" t="inlineStr">
        <is>
          <t>Kickapoo</t>
        </is>
      </c>
      <c r="E248" t="inlineStr">
        <is>
          <t>detailed</t>
        </is>
      </c>
      <c r="F248" t="inlineStr">
        <is>
          <t>primary</t>
        </is>
      </c>
      <c r="G248" t="inlineStr">
        <is>
          <t>required</t>
        </is>
      </c>
      <c r="H248" t="inlineStr">
        <is>
          <t>true</t>
        </is>
      </c>
      <c r="I248" t="inlineStr">
        <is>
          <t>335</t>
        </is>
      </c>
      <c r="J248" t="inlineStr">
        <is>
          <t>HL7 ValueSet expand (2026-06-09)</t>
        </is>
      </c>
      <c r="K248" t="inlineStr">
        <is>
          <t>false</t>
        </is>
      </c>
    </row>
    <row r="249">
      <c r="A249" t="inlineStr">
        <is>
          <t>Patient.race</t>
        </is>
      </c>
      <c r="B249" t="inlineStr">
        <is>
          <t>urn:oid:2.16.840.1.113883.6.238</t>
        </is>
      </c>
      <c r="C249" t="inlineStr">
        <is>
          <t>1306-0</t>
        </is>
      </c>
      <c r="D249" t="inlineStr">
        <is>
          <t>Oklahoma Kickapoo</t>
        </is>
      </c>
      <c r="E249" t="inlineStr">
        <is>
          <t>detailed</t>
        </is>
      </c>
      <c r="F249" t="inlineStr">
        <is>
          <t>primary</t>
        </is>
      </c>
      <c r="G249" t="inlineStr">
        <is>
          <t>required</t>
        </is>
      </c>
      <c r="H249" t="inlineStr">
        <is>
          <t>true</t>
        </is>
      </c>
      <c r="I249" t="inlineStr">
        <is>
          <t>336</t>
        </is>
      </c>
      <c r="J249" t="inlineStr">
        <is>
          <t>HL7 ValueSet expand (2026-06-09)</t>
        </is>
      </c>
      <c r="K249" t="inlineStr">
        <is>
          <t>false</t>
        </is>
      </c>
    </row>
    <row r="250">
      <c r="A250" t="inlineStr">
        <is>
          <t>Patient.race</t>
        </is>
      </c>
      <c r="B250" t="inlineStr">
        <is>
          <t>urn:oid:2.16.840.1.113883.6.238</t>
        </is>
      </c>
      <c r="C250" t="inlineStr">
        <is>
          <t>1307-8</t>
        </is>
      </c>
      <c r="D250" t="inlineStr">
        <is>
          <t>Texas Kickapoo</t>
        </is>
      </c>
      <c r="E250" t="inlineStr">
        <is>
          <t>detailed</t>
        </is>
      </c>
      <c r="F250" t="inlineStr">
        <is>
          <t>primary</t>
        </is>
      </c>
      <c r="G250" t="inlineStr">
        <is>
          <t>required</t>
        </is>
      </c>
      <c r="H250" t="inlineStr">
        <is>
          <t>true</t>
        </is>
      </c>
      <c r="I250" t="inlineStr">
        <is>
          <t>337</t>
        </is>
      </c>
      <c r="J250" t="inlineStr">
        <is>
          <t>HL7 ValueSet expand (2026-06-09)</t>
        </is>
      </c>
      <c r="K250" t="inlineStr">
        <is>
          <t>false</t>
        </is>
      </c>
    </row>
    <row r="251">
      <c r="A251" t="inlineStr">
        <is>
          <t>Patient.race</t>
        </is>
      </c>
      <c r="B251" t="inlineStr">
        <is>
          <t>urn:oid:2.16.840.1.113883.6.238</t>
        </is>
      </c>
      <c r="C251" t="inlineStr">
        <is>
          <t>1309-4</t>
        </is>
      </c>
      <c r="D251" t="inlineStr">
        <is>
          <t>Kiowa</t>
        </is>
      </c>
      <c r="E251" t="inlineStr">
        <is>
          <t>detailed</t>
        </is>
      </c>
      <c r="F251" t="inlineStr">
        <is>
          <t>primary</t>
        </is>
      </c>
      <c r="G251" t="inlineStr">
        <is>
          <t>required</t>
        </is>
      </c>
      <c r="H251" t="inlineStr">
        <is>
          <t>true</t>
        </is>
      </c>
      <c r="I251" t="inlineStr">
        <is>
          <t>338</t>
        </is>
      </c>
      <c r="J251" t="inlineStr">
        <is>
          <t>HL7 ValueSet expand (2026-06-09)</t>
        </is>
      </c>
      <c r="K251" t="inlineStr">
        <is>
          <t>false</t>
        </is>
      </c>
    </row>
    <row r="252">
      <c r="A252" t="inlineStr">
        <is>
          <t>Patient.race</t>
        </is>
      </c>
      <c r="B252" t="inlineStr">
        <is>
          <t>urn:oid:2.16.840.1.113883.6.238</t>
        </is>
      </c>
      <c r="C252" t="inlineStr">
        <is>
          <t>1310-2</t>
        </is>
      </c>
      <c r="D252" t="inlineStr">
        <is>
          <t>Oklahoma Kiowa</t>
        </is>
      </c>
      <c r="E252" t="inlineStr">
        <is>
          <t>detailed</t>
        </is>
      </c>
      <c r="F252" t="inlineStr">
        <is>
          <t>primary</t>
        </is>
      </c>
      <c r="G252" t="inlineStr">
        <is>
          <t>required</t>
        </is>
      </c>
      <c r="H252" t="inlineStr">
        <is>
          <t>true</t>
        </is>
      </c>
      <c r="I252" t="inlineStr">
        <is>
          <t>339</t>
        </is>
      </c>
      <c r="J252" t="inlineStr">
        <is>
          <t>HL7 ValueSet expand (2026-06-09)</t>
        </is>
      </c>
      <c r="K252" t="inlineStr">
        <is>
          <t>false</t>
        </is>
      </c>
    </row>
    <row r="253">
      <c r="A253" t="inlineStr">
        <is>
          <t>Patient.race</t>
        </is>
      </c>
      <c r="B253" t="inlineStr">
        <is>
          <t>urn:oid:2.16.840.1.113883.6.238</t>
        </is>
      </c>
      <c r="C253" t="inlineStr">
        <is>
          <t>1312-8</t>
        </is>
      </c>
      <c r="D253" t="inlineStr">
        <is>
          <t>Klallam</t>
        </is>
      </c>
      <c r="E253" t="inlineStr">
        <is>
          <t>detailed</t>
        </is>
      </c>
      <c r="F253" t="inlineStr">
        <is>
          <t>primary</t>
        </is>
      </c>
      <c r="G253" t="inlineStr">
        <is>
          <t>required</t>
        </is>
      </c>
      <c r="H253" t="inlineStr">
        <is>
          <t>true</t>
        </is>
      </c>
      <c r="I253" t="inlineStr">
        <is>
          <t>340</t>
        </is>
      </c>
      <c r="J253" t="inlineStr">
        <is>
          <t>HL7 ValueSet expand (2026-06-09)</t>
        </is>
      </c>
      <c r="K253" t="inlineStr">
        <is>
          <t>false</t>
        </is>
      </c>
    </row>
    <row r="254">
      <c r="A254" t="inlineStr">
        <is>
          <t>Patient.race</t>
        </is>
      </c>
      <c r="B254" t="inlineStr">
        <is>
          <t>urn:oid:2.16.840.1.113883.6.238</t>
        </is>
      </c>
      <c r="C254" t="inlineStr">
        <is>
          <t>1313-6</t>
        </is>
      </c>
      <c r="D254" t="inlineStr">
        <is>
          <t>Jamestown</t>
        </is>
      </c>
      <c r="E254" t="inlineStr">
        <is>
          <t>detailed</t>
        </is>
      </c>
      <c r="F254" t="inlineStr">
        <is>
          <t>primary</t>
        </is>
      </c>
      <c r="G254" t="inlineStr">
        <is>
          <t>required</t>
        </is>
      </c>
      <c r="H254" t="inlineStr">
        <is>
          <t>true</t>
        </is>
      </c>
      <c r="I254" t="inlineStr">
        <is>
          <t>341</t>
        </is>
      </c>
      <c r="J254" t="inlineStr">
        <is>
          <t>HL7 ValueSet expand (2026-06-09)</t>
        </is>
      </c>
      <c r="K254" t="inlineStr">
        <is>
          <t>false</t>
        </is>
      </c>
    </row>
    <row r="255">
      <c r="A255" t="inlineStr">
        <is>
          <t>Patient.race</t>
        </is>
      </c>
      <c r="B255" t="inlineStr">
        <is>
          <t>urn:oid:2.16.840.1.113883.6.238</t>
        </is>
      </c>
      <c r="C255" t="inlineStr">
        <is>
          <t>1314-4</t>
        </is>
      </c>
      <c r="D255" t="inlineStr">
        <is>
          <t>Lower Elwha</t>
        </is>
      </c>
      <c r="E255" t="inlineStr">
        <is>
          <t>detailed</t>
        </is>
      </c>
      <c r="F255" t="inlineStr">
        <is>
          <t>primary</t>
        </is>
      </c>
      <c r="G255" t="inlineStr">
        <is>
          <t>required</t>
        </is>
      </c>
      <c r="H255" t="inlineStr">
        <is>
          <t>true</t>
        </is>
      </c>
      <c r="I255" t="inlineStr">
        <is>
          <t>342</t>
        </is>
      </c>
      <c r="J255" t="inlineStr">
        <is>
          <t>HL7 ValueSet expand (2026-06-09)</t>
        </is>
      </c>
      <c r="K255" t="inlineStr">
        <is>
          <t>false</t>
        </is>
      </c>
    </row>
    <row r="256">
      <c r="A256" t="inlineStr">
        <is>
          <t>Patient.race</t>
        </is>
      </c>
      <c r="B256" t="inlineStr">
        <is>
          <t>urn:oid:2.16.840.1.113883.6.238</t>
        </is>
      </c>
      <c r="C256" t="inlineStr">
        <is>
          <t>1315-1</t>
        </is>
      </c>
      <c r="D256" t="inlineStr">
        <is>
          <t>Port Gamble Klallam</t>
        </is>
      </c>
      <c r="E256" t="inlineStr">
        <is>
          <t>detailed</t>
        </is>
      </c>
      <c r="F256" t="inlineStr">
        <is>
          <t>primary</t>
        </is>
      </c>
      <c r="G256" t="inlineStr">
        <is>
          <t>required</t>
        </is>
      </c>
      <c r="H256" t="inlineStr">
        <is>
          <t>true</t>
        </is>
      </c>
      <c r="I256" t="inlineStr">
        <is>
          <t>343</t>
        </is>
      </c>
      <c r="J256" t="inlineStr">
        <is>
          <t>HL7 ValueSet expand (2026-06-09)</t>
        </is>
      </c>
      <c r="K256" t="inlineStr">
        <is>
          <t>false</t>
        </is>
      </c>
    </row>
    <row r="257">
      <c r="A257" t="inlineStr">
        <is>
          <t>Patient.race</t>
        </is>
      </c>
      <c r="B257" t="inlineStr">
        <is>
          <t>urn:oid:2.16.840.1.113883.6.238</t>
        </is>
      </c>
      <c r="C257" t="inlineStr">
        <is>
          <t>1317-7</t>
        </is>
      </c>
      <c r="D257" t="inlineStr">
        <is>
          <t>Klamath</t>
        </is>
      </c>
      <c r="E257" t="inlineStr">
        <is>
          <t>detailed</t>
        </is>
      </c>
      <c r="F257" t="inlineStr">
        <is>
          <t>primary</t>
        </is>
      </c>
      <c r="G257" t="inlineStr">
        <is>
          <t>required</t>
        </is>
      </c>
      <c r="H257" t="inlineStr">
        <is>
          <t>true</t>
        </is>
      </c>
      <c r="I257" t="inlineStr">
        <is>
          <t>344</t>
        </is>
      </c>
      <c r="J257" t="inlineStr">
        <is>
          <t>HL7 ValueSet expand (2026-06-09)</t>
        </is>
      </c>
      <c r="K257" t="inlineStr">
        <is>
          <t>false</t>
        </is>
      </c>
    </row>
    <row r="258">
      <c r="A258" t="inlineStr">
        <is>
          <t>Patient.race</t>
        </is>
      </c>
      <c r="B258" t="inlineStr">
        <is>
          <t>urn:oid:2.16.840.1.113883.6.238</t>
        </is>
      </c>
      <c r="C258" t="inlineStr">
        <is>
          <t>1319-3</t>
        </is>
      </c>
      <c r="D258" t="inlineStr">
        <is>
          <t>Konkow</t>
        </is>
      </c>
      <c r="E258" t="inlineStr">
        <is>
          <t>detailed</t>
        </is>
      </c>
      <c r="F258" t="inlineStr">
        <is>
          <t>primary</t>
        </is>
      </c>
      <c r="G258" t="inlineStr">
        <is>
          <t>required</t>
        </is>
      </c>
      <c r="H258" t="inlineStr">
        <is>
          <t>true</t>
        </is>
      </c>
      <c r="I258" t="inlineStr">
        <is>
          <t>345</t>
        </is>
      </c>
      <c r="J258" t="inlineStr">
        <is>
          <t>HL7 ValueSet expand (2026-06-09)</t>
        </is>
      </c>
      <c r="K258" t="inlineStr">
        <is>
          <t>false</t>
        </is>
      </c>
    </row>
    <row r="259">
      <c r="A259" t="inlineStr">
        <is>
          <t>Patient.race</t>
        </is>
      </c>
      <c r="B259" t="inlineStr">
        <is>
          <t>urn:oid:2.16.840.1.113883.6.238</t>
        </is>
      </c>
      <c r="C259" t="inlineStr">
        <is>
          <t>1321-9</t>
        </is>
      </c>
      <c r="D259" t="inlineStr">
        <is>
          <t>Kootenai</t>
        </is>
      </c>
      <c r="E259" t="inlineStr">
        <is>
          <t>detailed</t>
        </is>
      </c>
      <c r="F259" t="inlineStr">
        <is>
          <t>primary</t>
        </is>
      </c>
      <c r="G259" t="inlineStr">
        <is>
          <t>required</t>
        </is>
      </c>
      <c r="H259" t="inlineStr">
        <is>
          <t>true</t>
        </is>
      </c>
      <c r="I259" t="inlineStr">
        <is>
          <t>346</t>
        </is>
      </c>
      <c r="J259" t="inlineStr">
        <is>
          <t>HL7 ValueSet expand (2026-06-09)</t>
        </is>
      </c>
      <c r="K259" t="inlineStr">
        <is>
          <t>false</t>
        </is>
      </c>
    </row>
    <row r="260">
      <c r="A260" t="inlineStr">
        <is>
          <t>Patient.race</t>
        </is>
      </c>
      <c r="B260" t="inlineStr">
        <is>
          <t>urn:oid:2.16.840.1.113883.6.238</t>
        </is>
      </c>
      <c r="C260" t="inlineStr">
        <is>
          <t>1323-5</t>
        </is>
      </c>
      <c r="D260" t="inlineStr">
        <is>
          <t>Lassik</t>
        </is>
      </c>
      <c r="E260" t="inlineStr">
        <is>
          <t>detailed</t>
        </is>
      </c>
      <c r="F260" t="inlineStr">
        <is>
          <t>primary</t>
        </is>
      </c>
      <c r="G260" t="inlineStr">
        <is>
          <t>required</t>
        </is>
      </c>
      <c r="H260" t="inlineStr">
        <is>
          <t>true</t>
        </is>
      </c>
      <c r="I260" t="inlineStr">
        <is>
          <t>347</t>
        </is>
      </c>
      <c r="J260" t="inlineStr">
        <is>
          <t>HL7 ValueSet expand (2026-06-09)</t>
        </is>
      </c>
      <c r="K260" t="inlineStr">
        <is>
          <t>false</t>
        </is>
      </c>
    </row>
    <row r="261">
      <c r="A261" t="inlineStr">
        <is>
          <t>Patient.race</t>
        </is>
      </c>
      <c r="B261" t="inlineStr">
        <is>
          <t>urn:oid:2.16.840.1.113883.6.238</t>
        </is>
      </c>
      <c r="C261" t="inlineStr">
        <is>
          <t>1325-0</t>
        </is>
      </c>
      <c r="D261" t="inlineStr">
        <is>
          <t>Long Island</t>
        </is>
      </c>
      <c r="E261" t="inlineStr">
        <is>
          <t>detailed</t>
        </is>
      </c>
      <c r="F261" t="inlineStr">
        <is>
          <t>primary</t>
        </is>
      </c>
      <c r="G261" t="inlineStr">
        <is>
          <t>required</t>
        </is>
      </c>
      <c r="H261" t="inlineStr">
        <is>
          <t>true</t>
        </is>
      </c>
      <c r="I261" t="inlineStr">
        <is>
          <t>348</t>
        </is>
      </c>
      <c r="J261" t="inlineStr">
        <is>
          <t>HL7 ValueSet expand (2026-06-09)</t>
        </is>
      </c>
      <c r="K261" t="inlineStr">
        <is>
          <t>false</t>
        </is>
      </c>
    </row>
    <row r="262">
      <c r="A262" t="inlineStr">
        <is>
          <t>Patient.race</t>
        </is>
      </c>
      <c r="B262" t="inlineStr">
        <is>
          <t>urn:oid:2.16.840.1.113883.6.238</t>
        </is>
      </c>
      <c r="C262" t="inlineStr">
        <is>
          <t>1326-8</t>
        </is>
      </c>
      <c r="D262" t="inlineStr">
        <is>
          <t>Matinecock</t>
        </is>
      </c>
      <c r="E262" t="inlineStr">
        <is>
          <t>detailed</t>
        </is>
      </c>
      <c r="F262" t="inlineStr">
        <is>
          <t>primary</t>
        </is>
      </c>
      <c r="G262" t="inlineStr">
        <is>
          <t>required</t>
        </is>
      </c>
      <c r="H262" t="inlineStr">
        <is>
          <t>true</t>
        </is>
      </c>
      <c r="I262" t="inlineStr">
        <is>
          <t>349</t>
        </is>
      </c>
      <c r="J262" t="inlineStr">
        <is>
          <t>HL7 ValueSet expand (2026-06-09)</t>
        </is>
      </c>
      <c r="K262" t="inlineStr">
        <is>
          <t>false</t>
        </is>
      </c>
    </row>
    <row r="263">
      <c r="A263" t="inlineStr">
        <is>
          <t>Patient.race</t>
        </is>
      </c>
      <c r="B263" t="inlineStr">
        <is>
          <t>urn:oid:2.16.840.1.113883.6.238</t>
        </is>
      </c>
      <c r="C263" t="inlineStr">
        <is>
          <t>1327-6</t>
        </is>
      </c>
      <c r="D263" t="inlineStr">
        <is>
          <t>Montauk</t>
        </is>
      </c>
      <c r="E263" t="inlineStr">
        <is>
          <t>detailed</t>
        </is>
      </c>
      <c r="F263" t="inlineStr">
        <is>
          <t>primary</t>
        </is>
      </c>
      <c r="G263" t="inlineStr">
        <is>
          <t>required</t>
        </is>
      </c>
      <c r="H263" t="inlineStr">
        <is>
          <t>true</t>
        </is>
      </c>
      <c r="I263" t="inlineStr">
        <is>
          <t>350</t>
        </is>
      </c>
      <c r="J263" t="inlineStr">
        <is>
          <t>HL7 ValueSet expand (2026-06-09)</t>
        </is>
      </c>
      <c r="K263" t="inlineStr">
        <is>
          <t>false</t>
        </is>
      </c>
    </row>
    <row r="264">
      <c r="A264" t="inlineStr">
        <is>
          <t>Patient.race</t>
        </is>
      </c>
      <c r="B264" t="inlineStr">
        <is>
          <t>urn:oid:2.16.840.1.113883.6.238</t>
        </is>
      </c>
      <c r="C264" t="inlineStr">
        <is>
          <t>1328-4</t>
        </is>
      </c>
      <c r="D264" t="inlineStr">
        <is>
          <t>Poospatuck</t>
        </is>
      </c>
      <c r="E264" t="inlineStr">
        <is>
          <t>detailed</t>
        </is>
      </c>
      <c r="F264" t="inlineStr">
        <is>
          <t>primary</t>
        </is>
      </c>
      <c r="G264" t="inlineStr">
        <is>
          <t>required</t>
        </is>
      </c>
      <c r="H264" t="inlineStr">
        <is>
          <t>true</t>
        </is>
      </c>
      <c r="I264" t="inlineStr">
        <is>
          <t>351</t>
        </is>
      </c>
      <c r="J264" t="inlineStr">
        <is>
          <t>HL7 ValueSet expand (2026-06-09)</t>
        </is>
      </c>
      <c r="K264" t="inlineStr">
        <is>
          <t>false</t>
        </is>
      </c>
    </row>
    <row r="265">
      <c r="A265" t="inlineStr">
        <is>
          <t>Patient.race</t>
        </is>
      </c>
      <c r="B265" t="inlineStr">
        <is>
          <t>urn:oid:2.16.840.1.113883.6.238</t>
        </is>
      </c>
      <c r="C265" t="inlineStr">
        <is>
          <t>1329-2</t>
        </is>
      </c>
      <c r="D265" t="inlineStr">
        <is>
          <t>Setauket</t>
        </is>
      </c>
      <c r="E265" t="inlineStr">
        <is>
          <t>detailed</t>
        </is>
      </c>
      <c r="F265" t="inlineStr">
        <is>
          <t>primary</t>
        </is>
      </c>
      <c r="G265" t="inlineStr">
        <is>
          <t>required</t>
        </is>
      </c>
      <c r="H265" t="inlineStr">
        <is>
          <t>true</t>
        </is>
      </c>
      <c r="I265" t="inlineStr">
        <is>
          <t>352</t>
        </is>
      </c>
      <c r="J265" t="inlineStr">
        <is>
          <t>HL7 ValueSet expand (2026-06-09)</t>
        </is>
      </c>
      <c r="K265" t="inlineStr">
        <is>
          <t>false</t>
        </is>
      </c>
    </row>
    <row r="266">
      <c r="A266" t="inlineStr">
        <is>
          <t>Patient.race</t>
        </is>
      </c>
      <c r="B266" t="inlineStr">
        <is>
          <t>urn:oid:2.16.840.1.113883.6.238</t>
        </is>
      </c>
      <c r="C266" t="inlineStr">
        <is>
          <t>1331-8</t>
        </is>
      </c>
      <c r="D266" t="inlineStr">
        <is>
          <t>Luiseno</t>
        </is>
      </c>
      <c r="E266" t="inlineStr">
        <is>
          <t>detailed</t>
        </is>
      </c>
      <c r="F266" t="inlineStr">
        <is>
          <t>primary</t>
        </is>
      </c>
      <c r="G266" t="inlineStr">
        <is>
          <t>required</t>
        </is>
      </c>
      <c r="H266" t="inlineStr">
        <is>
          <t>true</t>
        </is>
      </c>
      <c r="I266" t="inlineStr">
        <is>
          <t>353</t>
        </is>
      </c>
      <c r="J266" t="inlineStr">
        <is>
          <t>HL7 ValueSet expand (2026-06-09)</t>
        </is>
      </c>
      <c r="K266" t="inlineStr">
        <is>
          <t>false</t>
        </is>
      </c>
    </row>
    <row r="267">
      <c r="A267" t="inlineStr">
        <is>
          <t>Patient.race</t>
        </is>
      </c>
      <c r="B267" t="inlineStr">
        <is>
          <t>urn:oid:2.16.840.1.113883.6.238</t>
        </is>
      </c>
      <c r="C267" t="inlineStr">
        <is>
          <t>1332-6</t>
        </is>
      </c>
      <c r="D267" t="inlineStr">
        <is>
          <t>La Jolla</t>
        </is>
      </c>
      <c r="E267" t="inlineStr">
        <is>
          <t>detailed</t>
        </is>
      </c>
      <c r="F267" t="inlineStr">
        <is>
          <t>primary</t>
        </is>
      </c>
      <c r="G267" t="inlineStr">
        <is>
          <t>required</t>
        </is>
      </c>
      <c r="H267" t="inlineStr">
        <is>
          <t>true</t>
        </is>
      </c>
      <c r="I267" t="inlineStr">
        <is>
          <t>354</t>
        </is>
      </c>
      <c r="J267" t="inlineStr">
        <is>
          <t>HL7 ValueSet expand (2026-06-09)</t>
        </is>
      </c>
      <c r="K267" t="inlineStr">
        <is>
          <t>false</t>
        </is>
      </c>
    </row>
    <row r="268">
      <c r="A268" t="inlineStr">
        <is>
          <t>Patient.race</t>
        </is>
      </c>
      <c r="B268" t="inlineStr">
        <is>
          <t>urn:oid:2.16.840.1.113883.6.238</t>
        </is>
      </c>
      <c r="C268" t="inlineStr">
        <is>
          <t>1333-4</t>
        </is>
      </c>
      <c r="D268" t="inlineStr">
        <is>
          <t>Pala</t>
        </is>
      </c>
      <c r="E268" t="inlineStr">
        <is>
          <t>detailed</t>
        </is>
      </c>
      <c r="F268" t="inlineStr">
        <is>
          <t>primary</t>
        </is>
      </c>
      <c r="G268" t="inlineStr">
        <is>
          <t>required</t>
        </is>
      </c>
      <c r="H268" t="inlineStr">
        <is>
          <t>true</t>
        </is>
      </c>
      <c r="I268" t="inlineStr">
        <is>
          <t>355</t>
        </is>
      </c>
      <c r="J268" t="inlineStr">
        <is>
          <t>HL7 ValueSet expand (2026-06-09)</t>
        </is>
      </c>
      <c r="K268" t="inlineStr">
        <is>
          <t>false</t>
        </is>
      </c>
    </row>
    <row r="269">
      <c r="A269" t="inlineStr">
        <is>
          <t>Patient.race</t>
        </is>
      </c>
      <c r="B269" t="inlineStr">
        <is>
          <t>urn:oid:2.16.840.1.113883.6.238</t>
        </is>
      </c>
      <c r="C269" t="inlineStr">
        <is>
          <t>1334-2</t>
        </is>
      </c>
      <c r="D269" t="inlineStr">
        <is>
          <t>Pauma</t>
        </is>
      </c>
      <c r="E269" t="inlineStr">
        <is>
          <t>detailed</t>
        </is>
      </c>
      <c r="F269" t="inlineStr">
        <is>
          <t>primary</t>
        </is>
      </c>
      <c r="G269" t="inlineStr">
        <is>
          <t>required</t>
        </is>
      </c>
      <c r="H269" t="inlineStr">
        <is>
          <t>true</t>
        </is>
      </c>
      <c r="I269" t="inlineStr">
        <is>
          <t>356</t>
        </is>
      </c>
      <c r="J269" t="inlineStr">
        <is>
          <t>HL7 ValueSet expand (2026-06-09)</t>
        </is>
      </c>
      <c r="K269" t="inlineStr">
        <is>
          <t>false</t>
        </is>
      </c>
    </row>
    <row r="270">
      <c r="A270" t="inlineStr">
        <is>
          <t>Patient.race</t>
        </is>
      </c>
      <c r="B270" t="inlineStr">
        <is>
          <t>urn:oid:2.16.840.1.113883.6.238</t>
        </is>
      </c>
      <c r="C270" t="inlineStr">
        <is>
          <t>1335-9</t>
        </is>
      </c>
      <c r="D270" t="inlineStr">
        <is>
          <t>Pechanga</t>
        </is>
      </c>
      <c r="E270" t="inlineStr">
        <is>
          <t>detailed</t>
        </is>
      </c>
      <c r="F270" t="inlineStr">
        <is>
          <t>primary</t>
        </is>
      </c>
      <c r="G270" t="inlineStr">
        <is>
          <t>required</t>
        </is>
      </c>
      <c r="H270" t="inlineStr">
        <is>
          <t>true</t>
        </is>
      </c>
      <c r="I270" t="inlineStr">
        <is>
          <t>357</t>
        </is>
      </c>
      <c r="J270" t="inlineStr">
        <is>
          <t>HL7 ValueSet expand (2026-06-09)</t>
        </is>
      </c>
      <c r="K270" t="inlineStr">
        <is>
          <t>false</t>
        </is>
      </c>
    </row>
    <row r="271">
      <c r="A271" t="inlineStr">
        <is>
          <t>Patient.race</t>
        </is>
      </c>
      <c r="B271" t="inlineStr">
        <is>
          <t>urn:oid:2.16.840.1.113883.6.238</t>
        </is>
      </c>
      <c r="C271" t="inlineStr">
        <is>
          <t>1336-7</t>
        </is>
      </c>
      <c r="D271" t="inlineStr">
        <is>
          <t>Soboba</t>
        </is>
      </c>
      <c r="E271" t="inlineStr">
        <is>
          <t>detailed</t>
        </is>
      </c>
      <c r="F271" t="inlineStr">
        <is>
          <t>primary</t>
        </is>
      </c>
      <c r="G271" t="inlineStr">
        <is>
          <t>required</t>
        </is>
      </c>
      <c r="H271" t="inlineStr">
        <is>
          <t>true</t>
        </is>
      </c>
      <c r="I271" t="inlineStr">
        <is>
          <t>358</t>
        </is>
      </c>
      <c r="J271" t="inlineStr">
        <is>
          <t>HL7 ValueSet expand (2026-06-09)</t>
        </is>
      </c>
      <c r="K271" t="inlineStr">
        <is>
          <t>false</t>
        </is>
      </c>
    </row>
    <row r="272">
      <c r="A272" t="inlineStr">
        <is>
          <t>Patient.race</t>
        </is>
      </c>
      <c r="B272" t="inlineStr">
        <is>
          <t>urn:oid:2.16.840.1.113883.6.238</t>
        </is>
      </c>
      <c r="C272" t="inlineStr">
        <is>
          <t>1337-5</t>
        </is>
      </c>
      <c r="D272" t="inlineStr">
        <is>
          <t>Twenty-Nine Palms</t>
        </is>
      </c>
      <c r="E272" t="inlineStr">
        <is>
          <t>detailed</t>
        </is>
      </c>
      <c r="F272" t="inlineStr">
        <is>
          <t>primary</t>
        </is>
      </c>
      <c r="G272" t="inlineStr">
        <is>
          <t>required</t>
        </is>
      </c>
      <c r="H272" t="inlineStr">
        <is>
          <t>true</t>
        </is>
      </c>
      <c r="I272" t="inlineStr">
        <is>
          <t>359</t>
        </is>
      </c>
      <c r="J272" t="inlineStr">
        <is>
          <t>HL7 ValueSet expand (2026-06-09)</t>
        </is>
      </c>
      <c r="K272" t="inlineStr">
        <is>
          <t>false</t>
        </is>
      </c>
    </row>
    <row r="273">
      <c r="A273" t="inlineStr">
        <is>
          <t>Patient.race</t>
        </is>
      </c>
      <c r="B273" t="inlineStr">
        <is>
          <t>urn:oid:2.16.840.1.113883.6.238</t>
        </is>
      </c>
      <c r="C273" t="inlineStr">
        <is>
          <t>1338-3</t>
        </is>
      </c>
      <c r="D273" t="inlineStr">
        <is>
          <t>Temecula</t>
        </is>
      </c>
      <c r="E273" t="inlineStr">
        <is>
          <t>detailed</t>
        </is>
      </c>
      <c r="F273" t="inlineStr">
        <is>
          <t>primary</t>
        </is>
      </c>
      <c r="G273" t="inlineStr">
        <is>
          <t>required</t>
        </is>
      </c>
      <c r="H273" t="inlineStr">
        <is>
          <t>true</t>
        </is>
      </c>
      <c r="I273" t="inlineStr">
        <is>
          <t>360</t>
        </is>
      </c>
      <c r="J273" t="inlineStr">
        <is>
          <t>HL7 ValueSet expand (2026-06-09)</t>
        </is>
      </c>
      <c r="K273" t="inlineStr">
        <is>
          <t>false</t>
        </is>
      </c>
    </row>
    <row r="274">
      <c r="A274" t="inlineStr">
        <is>
          <t>Patient.race</t>
        </is>
      </c>
      <c r="B274" t="inlineStr">
        <is>
          <t>urn:oid:2.16.840.1.113883.6.238</t>
        </is>
      </c>
      <c r="C274" t="inlineStr">
        <is>
          <t>1340-9</t>
        </is>
      </c>
      <c r="D274" t="inlineStr">
        <is>
          <t>Lumbee</t>
        </is>
      </c>
      <c r="E274" t="inlineStr">
        <is>
          <t>detailed</t>
        </is>
      </c>
      <c r="F274" t="inlineStr">
        <is>
          <t>primary</t>
        </is>
      </c>
      <c r="G274" t="inlineStr">
        <is>
          <t>required</t>
        </is>
      </c>
      <c r="H274" t="inlineStr">
        <is>
          <t>true</t>
        </is>
      </c>
      <c r="I274" t="inlineStr">
        <is>
          <t>361</t>
        </is>
      </c>
      <c r="J274" t="inlineStr">
        <is>
          <t>HL7 ValueSet expand (2026-06-09)</t>
        </is>
      </c>
      <c r="K274" t="inlineStr">
        <is>
          <t>false</t>
        </is>
      </c>
    </row>
    <row r="275">
      <c r="A275" t="inlineStr">
        <is>
          <t>Patient.race</t>
        </is>
      </c>
      <c r="B275" t="inlineStr">
        <is>
          <t>urn:oid:2.16.840.1.113883.6.238</t>
        </is>
      </c>
      <c r="C275" t="inlineStr">
        <is>
          <t>1342-5</t>
        </is>
      </c>
      <c r="D275" t="inlineStr">
        <is>
          <t>Lummi</t>
        </is>
      </c>
      <c r="E275" t="inlineStr">
        <is>
          <t>detailed</t>
        </is>
      </c>
      <c r="F275" t="inlineStr">
        <is>
          <t>primary</t>
        </is>
      </c>
      <c r="G275" t="inlineStr">
        <is>
          <t>required</t>
        </is>
      </c>
      <c r="H275" t="inlineStr">
        <is>
          <t>true</t>
        </is>
      </c>
      <c r="I275" t="inlineStr">
        <is>
          <t>362</t>
        </is>
      </c>
      <c r="J275" t="inlineStr">
        <is>
          <t>HL7 ValueSet expand (2026-06-09)</t>
        </is>
      </c>
      <c r="K275" t="inlineStr">
        <is>
          <t>false</t>
        </is>
      </c>
    </row>
    <row r="276">
      <c r="A276" t="inlineStr">
        <is>
          <t>Patient.race</t>
        </is>
      </c>
      <c r="B276" t="inlineStr">
        <is>
          <t>urn:oid:2.16.840.1.113883.6.238</t>
        </is>
      </c>
      <c r="C276" t="inlineStr">
        <is>
          <t>1344-1</t>
        </is>
      </c>
      <c r="D276" t="inlineStr">
        <is>
          <t>Maidu</t>
        </is>
      </c>
      <c r="E276" t="inlineStr">
        <is>
          <t>detailed</t>
        </is>
      </c>
      <c r="F276" t="inlineStr">
        <is>
          <t>primary</t>
        </is>
      </c>
      <c r="G276" t="inlineStr">
        <is>
          <t>required</t>
        </is>
      </c>
      <c r="H276" t="inlineStr">
        <is>
          <t>true</t>
        </is>
      </c>
      <c r="I276" t="inlineStr">
        <is>
          <t>363</t>
        </is>
      </c>
      <c r="J276" t="inlineStr">
        <is>
          <t>HL7 ValueSet expand (2026-06-09)</t>
        </is>
      </c>
      <c r="K276" t="inlineStr">
        <is>
          <t>false</t>
        </is>
      </c>
    </row>
    <row r="277">
      <c r="A277" t="inlineStr">
        <is>
          <t>Patient.race</t>
        </is>
      </c>
      <c r="B277" t="inlineStr">
        <is>
          <t>urn:oid:2.16.840.1.113883.6.238</t>
        </is>
      </c>
      <c r="C277" t="inlineStr">
        <is>
          <t>1345-8</t>
        </is>
      </c>
      <c r="D277" t="inlineStr">
        <is>
          <t>Mountain Maidu</t>
        </is>
      </c>
      <c r="E277" t="inlineStr">
        <is>
          <t>detailed</t>
        </is>
      </c>
      <c r="F277" t="inlineStr">
        <is>
          <t>primary</t>
        </is>
      </c>
      <c r="G277" t="inlineStr">
        <is>
          <t>required</t>
        </is>
      </c>
      <c r="H277" t="inlineStr">
        <is>
          <t>true</t>
        </is>
      </c>
      <c r="I277" t="inlineStr">
        <is>
          <t>364</t>
        </is>
      </c>
      <c r="J277" t="inlineStr">
        <is>
          <t>HL7 ValueSet expand (2026-06-09)</t>
        </is>
      </c>
      <c r="K277" t="inlineStr">
        <is>
          <t>false</t>
        </is>
      </c>
    </row>
    <row r="278">
      <c r="A278" t="inlineStr">
        <is>
          <t>Patient.race</t>
        </is>
      </c>
      <c r="B278" t="inlineStr">
        <is>
          <t>urn:oid:2.16.840.1.113883.6.238</t>
        </is>
      </c>
      <c r="C278" t="inlineStr">
        <is>
          <t>1346-6</t>
        </is>
      </c>
      <c r="D278" t="inlineStr">
        <is>
          <t>Nishinam</t>
        </is>
      </c>
      <c r="E278" t="inlineStr">
        <is>
          <t>detailed</t>
        </is>
      </c>
      <c r="F278" t="inlineStr">
        <is>
          <t>primary</t>
        </is>
      </c>
      <c r="G278" t="inlineStr">
        <is>
          <t>required</t>
        </is>
      </c>
      <c r="H278" t="inlineStr">
        <is>
          <t>true</t>
        </is>
      </c>
      <c r="I278" t="inlineStr">
        <is>
          <t>365</t>
        </is>
      </c>
      <c r="J278" t="inlineStr">
        <is>
          <t>HL7 ValueSet expand (2026-06-09)</t>
        </is>
      </c>
      <c r="K278" t="inlineStr">
        <is>
          <t>false</t>
        </is>
      </c>
    </row>
    <row r="279">
      <c r="A279" t="inlineStr">
        <is>
          <t>Patient.race</t>
        </is>
      </c>
      <c r="B279" t="inlineStr">
        <is>
          <t>urn:oid:2.16.840.1.113883.6.238</t>
        </is>
      </c>
      <c r="C279" t="inlineStr">
        <is>
          <t>1348-2</t>
        </is>
      </c>
      <c r="D279" t="inlineStr">
        <is>
          <t>Makah</t>
        </is>
      </c>
      <c r="E279" t="inlineStr">
        <is>
          <t>detailed</t>
        </is>
      </c>
      <c r="F279" t="inlineStr">
        <is>
          <t>primary</t>
        </is>
      </c>
      <c r="G279" t="inlineStr">
        <is>
          <t>required</t>
        </is>
      </c>
      <c r="H279" t="inlineStr">
        <is>
          <t>true</t>
        </is>
      </c>
      <c r="I279" t="inlineStr">
        <is>
          <t>366</t>
        </is>
      </c>
      <c r="J279" t="inlineStr">
        <is>
          <t>HL7 ValueSet expand (2026-06-09)</t>
        </is>
      </c>
      <c r="K279" t="inlineStr">
        <is>
          <t>false</t>
        </is>
      </c>
    </row>
    <row r="280">
      <c r="A280" t="inlineStr">
        <is>
          <t>Patient.race</t>
        </is>
      </c>
      <c r="B280" t="inlineStr">
        <is>
          <t>urn:oid:2.16.840.1.113883.6.238</t>
        </is>
      </c>
      <c r="C280" t="inlineStr">
        <is>
          <t>1350-8</t>
        </is>
      </c>
      <c r="D280" t="inlineStr">
        <is>
          <t>Maliseet</t>
        </is>
      </c>
      <c r="E280" t="inlineStr">
        <is>
          <t>detailed</t>
        </is>
      </c>
      <c r="F280" t="inlineStr">
        <is>
          <t>primary</t>
        </is>
      </c>
      <c r="G280" t="inlineStr">
        <is>
          <t>required</t>
        </is>
      </c>
      <c r="H280" t="inlineStr">
        <is>
          <t>true</t>
        </is>
      </c>
      <c r="I280" t="inlineStr">
        <is>
          <t>367</t>
        </is>
      </c>
      <c r="J280" t="inlineStr">
        <is>
          <t>HL7 ValueSet expand (2026-06-09)</t>
        </is>
      </c>
      <c r="K280" t="inlineStr">
        <is>
          <t>false</t>
        </is>
      </c>
    </row>
    <row r="281">
      <c r="A281" t="inlineStr">
        <is>
          <t>Patient.race</t>
        </is>
      </c>
      <c r="B281" t="inlineStr">
        <is>
          <t>urn:oid:2.16.840.1.113883.6.238</t>
        </is>
      </c>
      <c r="C281" t="inlineStr">
        <is>
          <t>1352-4</t>
        </is>
      </c>
      <c r="D281" t="inlineStr">
        <is>
          <t>Mandan</t>
        </is>
      </c>
      <c r="E281" t="inlineStr">
        <is>
          <t>detailed</t>
        </is>
      </c>
      <c r="F281" t="inlineStr">
        <is>
          <t>primary</t>
        </is>
      </c>
      <c r="G281" t="inlineStr">
        <is>
          <t>required</t>
        </is>
      </c>
      <c r="H281" t="inlineStr">
        <is>
          <t>true</t>
        </is>
      </c>
      <c r="I281" t="inlineStr">
        <is>
          <t>368</t>
        </is>
      </c>
      <c r="J281" t="inlineStr">
        <is>
          <t>HL7 ValueSet expand (2026-06-09)</t>
        </is>
      </c>
      <c r="K281" t="inlineStr">
        <is>
          <t>false</t>
        </is>
      </c>
    </row>
    <row r="282">
      <c r="A282" t="inlineStr">
        <is>
          <t>Patient.race</t>
        </is>
      </c>
      <c r="B282" t="inlineStr">
        <is>
          <t>urn:oid:2.16.840.1.113883.6.238</t>
        </is>
      </c>
      <c r="C282" t="inlineStr">
        <is>
          <t>1354-0</t>
        </is>
      </c>
      <c r="D282" t="inlineStr">
        <is>
          <t>Mattaponi</t>
        </is>
      </c>
      <c r="E282" t="inlineStr">
        <is>
          <t>detailed</t>
        </is>
      </c>
      <c r="F282" t="inlineStr">
        <is>
          <t>primary</t>
        </is>
      </c>
      <c r="G282" t="inlineStr">
        <is>
          <t>required</t>
        </is>
      </c>
      <c r="H282" t="inlineStr">
        <is>
          <t>true</t>
        </is>
      </c>
      <c r="I282" t="inlineStr">
        <is>
          <t>369</t>
        </is>
      </c>
      <c r="J282" t="inlineStr">
        <is>
          <t>HL7 ValueSet expand (2026-06-09)</t>
        </is>
      </c>
      <c r="K282" t="inlineStr">
        <is>
          <t>false</t>
        </is>
      </c>
    </row>
    <row r="283">
      <c r="A283" t="inlineStr">
        <is>
          <t>Patient.race</t>
        </is>
      </c>
      <c r="B283" t="inlineStr">
        <is>
          <t>urn:oid:2.16.840.1.113883.6.238</t>
        </is>
      </c>
      <c r="C283" t="inlineStr">
        <is>
          <t>1356-5</t>
        </is>
      </c>
      <c r="D283" t="inlineStr">
        <is>
          <t>Menominee</t>
        </is>
      </c>
      <c r="E283" t="inlineStr">
        <is>
          <t>detailed</t>
        </is>
      </c>
      <c r="F283" t="inlineStr">
        <is>
          <t>primary</t>
        </is>
      </c>
      <c r="G283" t="inlineStr">
        <is>
          <t>required</t>
        </is>
      </c>
      <c r="H283" t="inlineStr">
        <is>
          <t>true</t>
        </is>
      </c>
      <c r="I283" t="inlineStr">
        <is>
          <t>370</t>
        </is>
      </c>
      <c r="J283" t="inlineStr">
        <is>
          <t>HL7 ValueSet expand (2026-06-09)</t>
        </is>
      </c>
      <c r="K283" t="inlineStr">
        <is>
          <t>false</t>
        </is>
      </c>
    </row>
    <row r="284">
      <c r="A284" t="inlineStr">
        <is>
          <t>Patient.race</t>
        </is>
      </c>
      <c r="B284" t="inlineStr">
        <is>
          <t>urn:oid:2.16.840.1.113883.6.238</t>
        </is>
      </c>
      <c r="C284" t="inlineStr">
        <is>
          <t>1358-1</t>
        </is>
      </c>
      <c r="D284" t="inlineStr">
        <is>
          <t>Miami</t>
        </is>
      </c>
      <c r="E284" t="inlineStr">
        <is>
          <t>detailed</t>
        </is>
      </c>
      <c r="F284" t="inlineStr">
        <is>
          <t>primary</t>
        </is>
      </c>
      <c r="G284" t="inlineStr">
        <is>
          <t>required</t>
        </is>
      </c>
      <c r="H284" t="inlineStr">
        <is>
          <t>true</t>
        </is>
      </c>
      <c r="I284" t="inlineStr">
        <is>
          <t>371</t>
        </is>
      </c>
      <c r="J284" t="inlineStr">
        <is>
          <t>HL7 ValueSet expand (2026-06-09)</t>
        </is>
      </c>
      <c r="K284" t="inlineStr">
        <is>
          <t>false</t>
        </is>
      </c>
    </row>
    <row r="285">
      <c r="A285" t="inlineStr">
        <is>
          <t>Patient.race</t>
        </is>
      </c>
      <c r="B285" t="inlineStr">
        <is>
          <t>urn:oid:2.16.840.1.113883.6.238</t>
        </is>
      </c>
      <c r="C285" t="inlineStr">
        <is>
          <t>1359-9</t>
        </is>
      </c>
      <c r="D285" t="inlineStr">
        <is>
          <t>Illinois Miami</t>
        </is>
      </c>
      <c r="E285" t="inlineStr">
        <is>
          <t>detailed</t>
        </is>
      </c>
      <c r="F285" t="inlineStr">
        <is>
          <t>primary</t>
        </is>
      </c>
      <c r="G285" t="inlineStr">
        <is>
          <t>required</t>
        </is>
      </c>
      <c r="H285" t="inlineStr">
        <is>
          <t>true</t>
        </is>
      </c>
      <c r="I285" t="inlineStr">
        <is>
          <t>372</t>
        </is>
      </c>
      <c r="J285" t="inlineStr">
        <is>
          <t>HL7 ValueSet expand (2026-06-09)</t>
        </is>
      </c>
      <c r="K285" t="inlineStr">
        <is>
          <t>false</t>
        </is>
      </c>
    </row>
    <row r="286">
      <c r="A286" t="inlineStr">
        <is>
          <t>Patient.race</t>
        </is>
      </c>
      <c r="B286" t="inlineStr">
        <is>
          <t>urn:oid:2.16.840.1.113883.6.238</t>
        </is>
      </c>
      <c r="C286" t="inlineStr">
        <is>
          <t>1360-7</t>
        </is>
      </c>
      <c r="D286" t="inlineStr">
        <is>
          <t>Indiana Miami</t>
        </is>
      </c>
      <c r="E286" t="inlineStr">
        <is>
          <t>detailed</t>
        </is>
      </c>
      <c r="F286" t="inlineStr">
        <is>
          <t>primary</t>
        </is>
      </c>
      <c r="G286" t="inlineStr">
        <is>
          <t>required</t>
        </is>
      </c>
      <c r="H286" t="inlineStr">
        <is>
          <t>true</t>
        </is>
      </c>
      <c r="I286" t="inlineStr">
        <is>
          <t>373</t>
        </is>
      </c>
      <c r="J286" t="inlineStr">
        <is>
          <t>HL7 ValueSet expand (2026-06-09)</t>
        </is>
      </c>
      <c r="K286" t="inlineStr">
        <is>
          <t>false</t>
        </is>
      </c>
    </row>
    <row r="287">
      <c r="A287" t="inlineStr">
        <is>
          <t>Patient.race</t>
        </is>
      </c>
      <c r="B287" t="inlineStr">
        <is>
          <t>urn:oid:2.16.840.1.113883.6.238</t>
        </is>
      </c>
      <c r="C287" t="inlineStr">
        <is>
          <t>1361-5</t>
        </is>
      </c>
      <c r="D287" t="inlineStr">
        <is>
          <t>Oklahoma Miami</t>
        </is>
      </c>
      <c r="E287" t="inlineStr">
        <is>
          <t>detailed</t>
        </is>
      </c>
      <c r="F287" t="inlineStr">
        <is>
          <t>primary</t>
        </is>
      </c>
      <c r="G287" t="inlineStr">
        <is>
          <t>required</t>
        </is>
      </c>
      <c r="H287" t="inlineStr">
        <is>
          <t>true</t>
        </is>
      </c>
      <c r="I287" t="inlineStr">
        <is>
          <t>374</t>
        </is>
      </c>
      <c r="J287" t="inlineStr">
        <is>
          <t>HL7 ValueSet expand (2026-06-09)</t>
        </is>
      </c>
      <c r="K287" t="inlineStr">
        <is>
          <t>false</t>
        </is>
      </c>
    </row>
    <row r="288">
      <c r="A288" t="inlineStr">
        <is>
          <t>Patient.race</t>
        </is>
      </c>
      <c r="B288" t="inlineStr">
        <is>
          <t>urn:oid:2.16.840.1.113883.6.238</t>
        </is>
      </c>
      <c r="C288" t="inlineStr">
        <is>
          <t>1363-1</t>
        </is>
      </c>
      <c r="D288" t="inlineStr">
        <is>
          <t>Miccosukee</t>
        </is>
      </c>
      <c r="E288" t="inlineStr">
        <is>
          <t>detailed</t>
        </is>
      </c>
      <c r="F288" t="inlineStr">
        <is>
          <t>primary</t>
        </is>
      </c>
      <c r="G288" t="inlineStr">
        <is>
          <t>required</t>
        </is>
      </c>
      <c r="H288" t="inlineStr">
        <is>
          <t>true</t>
        </is>
      </c>
      <c r="I288" t="inlineStr">
        <is>
          <t>375</t>
        </is>
      </c>
      <c r="J288" t="inlineStr">
        <is>
          <t>HL7 ValueSet expand (2026-06-09)</t>
        </is>
      </c>
      <c r="K288" t="inlineStr">
        <is>
          <t>false</t>
        </is>
      </c>
    </row>
    <row r="289">
      <c r="A289" t="inlineStr">
        <is>
          <t>Patient.race</t>
        </is>
      </c>
      <c r="B289" t="inlineStr">
        <is>
          <t>urn:oid:2.16.840.1.113883.6.238</t>
        </is>
      </c>
      <c r="C289" t="inlineStr">
        <is>
          <t>1365-6</t>
        </is>
      </c>
      <c r="D289" t="inlineStr">
        <is>
          <t>Micmac</t>
        </is>
      </c>
      <c r="E289" t="inlineStr">
        <is>
          <t>detailed</t>
        </is>
      </c>
      <c r="F289" t="inlineStr">
        <is>
          <t>primary</t>
        </is>
      </c>
      <c r="G289" t="inlineStr">
        <is>
          <t>required</t>
        </is>
      </c>
      <c r="H289" t="inlineStr">
        <is>
          <t>true</t>
        </is>
      </c>
      <c r="I289" t="inlineStr">
        <is>
          <t>376</t>
        </is>
      </c>
      <c r="J289" t="inlineStr">
        <is>
          <t>HL7 ValueSet expand (2026-06-09)</t>
        </is>
      </c>
      <c r="K289" t="inlineStr">
        <is>
          <t>false</t>
        </is>
      </c>
    </row>
    <row r="290">
      <c r="A290" t="inlineStr">
        <is>
          <t>Patient.race</t>
        </is>
      </c>
      <c r="B290" t="inlineStr">
        <is>
          <t>urn:oid:2.16.840.1.113883.6.238</t>
        </is>
      </c>
      <c r="C290" t="inlineStr">
        <is>
          <t>1366-4</t>
        </is>
      </c>
      <c r="D290" t="inlineStr">
        <is>
          <t>Aroostook</t>
        </is>
      </c>
      <c r="E290" t="inlineStr">
        <is>
          <t>detailed</t>
        </is>
      </c>
      <c r="F290" t="inlineStr">
        <is>
          <t>primary</t>
        </is>
      </c>
      <c r="G290" t="inlineStr">
        <is>
          <t>required</t>
        </is>
      </c>
      <c r="H290" t="inlineStr">
        <is>
          <t>true</t>
        </is>
      </c>
      <c r="I290" t="inlineStr">
        <is>
          <t>377</t>
        </is>
      </c>
      <c r="J290" t="inlineStr">
        <is>
          <t>HL7 ValueSet expand (2026-06-09)</t>
        </is>
      </c>
      <c r="K290" t="inlineStr">
        <is>
          <t>false</t>
        </is>
      </c>
    </row>
    <row r="291">
      <c r="A291" t="inlineStr">
        <is>
          <t>Patient.race</t>
        </is>
      </c>
      <c r="B291" t="inlineStr">
        <is>
          <t>urn:oid:2.16.840.1.113883.6.238</t>
        </is>
      </c>
      <c r="C291" t="inlineStr">
        <is>
          <t>1368-0</t>
        </is>
      </c>
      <c r="D291" t="inlineStr">
        <is>
          <t>Mission Indians</t>
        </is>
      </c>
      <c r="E291" t="inlineStr">
        <is>
          <t>detailed</t>
        </is>
      </c>
      <c r="F291" t="inlineStr">
        <is>
          <t>primary</t>
        </is>
      </c>
      <c r="G291" t="inlineStr">
        <is>
          <t>required</t>
        </is>
      </c>
      <c r="H291" t="inlineStr">
        <is>
          <t>true</t>
        </is>
      </c>
      <c r="I291" t="inlineStr">
        <is>
          <t>378</t>
        </is>
      </c>
      <c r="J291" t="inlineStr">
        <is>
          <t>HL7 ValueSet expand (2026-06-09)</t>
        </is>
      </c>
      <c r="K291" t="inlineStr">
        <is>
          <t>false</t>
        </is>
      </c>
    </row>
    <row r="292">
      <c r="A292" t="inlineStr">
        <is>
          <t>Patient.race</t>
        </is>
      </c>
      <c r="B292" t="inlineStr">
        <is>
          <t>urn:oid:2.16.840.1.113883.6.238</t>
        </is>
      </c>
      <c r="C292" t="inlineStr">
        <is>
          <t>1370-6</t>
        </is>
      </c>
      <c r="D292" t="inlineStr">
        <is>
          <t>Miwok</t>
        </is>
      </c>
      <c r="E292" t="inlineStr">
        <is>
          <t>detailed</t>
        </is>
      </c>
      <c r="F292" t="inlineStr">
        <is>
          <t>primary</t>
        </is>
      </c>
      <c r="G292" t="inlineStr">
        <is>
          <t>required</t>
        </is>
      </c>
      <c r="H292" t="inlineStr">
        <is>
          <t>true</t>
        </is>
      </c>
      <c r="I292" t="inlineStr">
        <is>
          <t>379</t>
        </is>
      </c>
      <c r="J292" t="inlineStr">
        <is>
          <t>HL7 ValueSet expand (2026-06-09)</t>
        </is>
      </c>
      <c r="K292" t="inlineStr">
        <is>
          <t>false</t>
        </is>
      </c>
    </row>
    <row r="293">
      <c r="A293" t="inlineStr">
        <is>
          <t>Patient.race</t>
        </is>
      </c>
      <c r="B293" t="inlineStr">
        <is>
          <t>urn:oid:2.16.840.1.113883.6.238</t>
        </is>
      </c>
      <c r="C293" t="inlineStr">
        <is>
          <t>1372-2</t>
        </is>
      </c>
      <c r="D293" t="inlineStr">
        <is>
          <t>Modoc</t>
        </is>
      </c>
      <c r="E293" t="inlineStr">
        <is>
          <t>detailed</t>
        </is>
      </c>
      <c r="F293" t="inlineStr">
        <is>
          <t>primary</t>
        </is>
      </c>
      <c r="G293" t="inlineStr">
        <is>
          <t>required</t>
        </is>
      </c>
      <c r="H293" t="inlineStr">
        <is>
          <t>true</t>
        </is>
      </c>
      <c r="I293" t="inlineStr">
        <is>
          <t>380</t>
        </is>
      </c>
      <c r="J293" t="inlineStr">
        <is>
          <t>HL7 ValueSet expand (2026-06-09)</t>
        </is>
      </c>
      <c r="K293" t="inlineStr">
        <is>
          <t>false</t>
        </is>
      </c>
    </row>
    <row r="294">
      <c r="A294" t="inlineStr">
        <is>
          <t>Patient.race</t>
        </is>
      </c>
      <c r="B294" t="inlineStr">
        <is>
          <t>urn:oid:2.16.840.1.113883.6.238</t>
        </is>
      </c>
      <c r="C294" t="inlineStr">
        <is>
          <t>1374-8</t>
        </is>
      </c>
      <c r="D294" t="inlineStr">
        <is>
          <t>Mohegan</t>
        </is>
      </c>
      <c r="E294" t="inlineStr">
        <is>
          <t>detailed</t>
        </is>
      </c>
      <c r="F294" t="inlineStr">
        <is>
          <t>primary</t>
        </is>
      </c>
      <c r="G294" t="inlineStr">
        <is>
          <t>required</t>
        </is>
      </c>
      <c r="H294" t="inlineStr">
        <is>
          <t>true</t>
        </is>
      </c>
      <c r="I294" t="inlineStr">
        <is>
          <t>381</t>
        </is>
      </c>
      <c r="J294" t="inlineStr">
        <is>
          <t>HL7 ValueSet expand (2026-06-09)</t>
        </is>
      </c>
      <c r="K294" t="inlineStr">
        <is>
          <t>false</t>
        </is>
      </c>
    </row>
    <row r="295">
      <c r="A295" t="inlineStr">
        <is>
          <t>Patient.race</t>
        </is>
      </c>
      <c r="B295" t="inlineStr">
        <is>
          <t>urn:oid:2.16.840.1.113883.6.238</t>
        </is>
      </c>
      <c r="C295" t="inlineStr">
        <is>
          <t>1376-3</t>
        </is>
      </c>
      <c r="D295" t="inlineStr">
        <is>
          <t>Mono</t>
        </is>
      </c>
      <c r="E295" t="inlineStr">
        <is>
          <t>detailed</t>
        </is>
      </c>
      <c r="F295" t="inlineStr">
        <is>
          <t>primary</t>
        </is>
      </c>
      <c r="G295" t="inlineStr">
        <is>
          <t>required</t>
        </is>
      </c>
      <c r="H295" t="inlineStr">
        <is>
          <t>true</t>
        </is>
      </c>
      <c r="I295" t="inlineStr">
        <is>
          <t>382</t>
        </is>
      </c>
      <c r="J295" t="inlineStr">
        <is>
          <t>HL7 ValueSet expand (2026-06-09)</t>
        </is>
      </c>
      <c r="K295" t="inlineStr">
        <is>
          <t>false</t>
        </is>
      </c>
    </row>
    <row r="296">
      <c r="A296" t="inlineStr">
        <is>
          <t>Patient.race</t>
        </is>
      </c>
      <c r="B296" t="inlineStr">
        <is>
          <t>urn:oid:2.16.840.1.113883.6.238</t>
        </is>
      </c>
      <c r="C296" t="inlineStr">
        <is>
          <t>1378-9</t>
        </is>
      </c>
      <c r="D296" t="inlineStr">
        <is>
          <t>Nanticoke</t>
        </is>
      </c>
      <c r="E296" t="inlineStr">
        <is>
          <t>detailed</t>
        </is>
      </c>
      <c r="F296" t="inlineStr">
        <is>
          <t>primary</t>
        </is>
      </c>
      <c r="G296" t="inlineStr">
        <is>
          <t>required</t>
        </is>
      </c>
      <c r="H296" t="inlineStr">
        <is>
          <t>true</t>
        </is>
      </c>
      <c r="I296" t="inlineStr">
        <is>
          <t>383</t>
        </is>
      </c>
      <c r="J296" t="inlineStr">
        <is>
          <t>HL7 ValueSet expand (2026-06-09)</t>
        </is>
      </c>
      <c r="K296" t="inlineStr">
        <is>
          <t>false</t>
        </is>
      </c>
    </row>
    <row r="297">
      <c r="A297" t="inlineStr">
        <is>
          <t>Patient.race</t>
        </is>
      </c>
      <c r="B297" t="inlineStr">
        <is>
          <t>urn:oid:2.16.840.1.113883.6.238</t>
        </is>
      </c>
      <c r="C297" t="inlineStr">
        <is>
          <t>1380-5</t>
        </is>
      </c>
      <c r="D297" t="inlineStr">
        <is>
          <t>Narragansett</t>
        </is>
      </c>
      <c r="E297" t="inlineStr">
        <is>
          <t>detailed</t>
        </is>
      </c>
      <c r="F297" t="inlineStr">
        <is>
          <t>primary</t>
        </is>
      </c>
      <c r="G297" t="inlineStr">
        <is>
          <t>required</t>
        </is>
      </c>
      <c r="H297" t="inlineStr">
        <is>
          <t>true</t>
        </is>
      </c>
      <c r="I297" t="inlineStr">
        <is>
          <t>384</t>
        </is>
      </c>
      <c r="J297" t="inlineStr">
        <is>
          <t>HL7 ValueSet expand (2026-06-09)</t>
        </is>
      </c>
      <c r="K297" t="inlineStr">
        <is>
          <t>false</t>
        </is>
      </c>
    </row>
    <row r="298">
      <c r="A298" t="inlineStr">
        <is>
          <t>Patient.race</t>
        </is>
      </c>
      <c r="B298" t="inlineStr">
        <is>
          <t>urn:oid:2.16.840.1.113883.6.238</t>
        </is>
      </c>
      <c r="C298" t="inlineStr">
        <is>
          <t>1382-1</t>
        </is>
      </c>
      <c r="D298" t="inlineStr">
        <is>
          <t>Navajo</t>
        </is>
      </c>
      <c r="E298" t="inlineStr">
        <is>
          <t>detailed</t>
        </is>
      </c>
      <c r="F298" t="inlineStr">
        <is>
          <t>primary</t>
        </is>
      </c>
      <c r="G298" t="inlineStr">
        <is>
          <t>required</t>
        </is>
      </c>
      <c r="H298" t="inlineStr">
        <is>
          <t>true</t>
        </is>
      </c>
      <c r="I298" t="inlineStr">
        <is>
          <t>385</t>
        </is>
      </c>
      <c r="J298" t="inlineStr">
        <is>
          <t>HL7 ValueSet expand (2026-06-09)</t>
        </is>
      </c>
      <c r="K298" t="inlineStr">
        <is>
          <t>false</t>
        </is>
      </c>
    </row>
    <row r="299">
      <c r="A299" t="inlineStr">
        <is>
          <t>Patient.race</t>
        </is>
      </c>
      <c r="B299" t="inlineStr">
        <is>
          <t>urn:oid:2.16.840.1.113883.6.238</t>
        </is>
      </c>
      <c r="C299" t="inlineStr">
        <is>
          <t>1383-9</t>
        </is>
      </c>
      <c r="D299" t="inlineStr">
        <is>
          <t>Alamo Navajo</t>
        </is>
      </c>
      <c r="E299" t="inlineStr">
        <is>
          <t>detailed</t>
        </is>
      </c>
      <c r="F299" t="inlineStr">
        <is>
          <t>primary</t>
        </is>
      </c>
      <c r="G299" t="inlineStr">
        <is>
          <t>required</t>
        </is>
      </c>
      <c r="H299" t="inlineStr">
        <is>
          <t>true</t>
        </is>
      </c>
      <c r="I299" t="inlineStr">
        <is>
          <t>386</t>
        </is>
      </c>
      <c r="J299" t="inlineStr">
        <is>
          <t>HL7 ValueSet expand (2026-06-09)</t>
        </is>
      </c>
      <c r="K299" t="inlineStr">
        <is>
          <t>false</t>
        </is>
      </c>
    </row>
    <row r="300">
      <c r="A300" t="inlineStr">
        <is>
          <t>Patient.race</t>
        </is>
      </c>
      <c r="B300" t="inlineStr">
        <is>
          <t>urn:oid:2.16.840.1.113883.6.238</t>
        </is>
      </c>
      <c r="C300" t="inlineStr">
        <is>
          <t>1384-7</t>
        </is>
      </c>
      <c r="D300" t="inlineStr">
        <is>
          <t>Canoncito Navajo</t>
        </is>
      </c>
      <c r="E300" t="inlineStr">
        <is>
          <t>detailed</t>
        </is>
      </c>
      <c r="F300" t="inlineStr">
        <is>
          <t>primary</t>
        </is>
      </c>
      <c r="G300" t="inlineStr">
        <is>
          <t>required</t>
        </is>
      </c>
      <c r="H300" t="inlineStr">
        <is>
          <t>true</t>
        </is>
      </c>
      <c r="I300" t="inlineStr">
        <is>
          <t>387</t>
        </is>
      </c>
      <c r="J300" t="inlineStr">
        <is>
          <t>HL7 ValueSet expand (2026-06-09)</t>
        </is>
      </c>
      <c r="K300" t="inlineStr">
        <is>
          <t>false</t>
        </is>
      </c>
    </row>
    <row r="301">
      <c r="A301" t="inlineStr">
        <is>
          <t>Patient.race</t>
        </is>
      </c>
      <c r="B301" t="inlineStr">
        <is>
          <t>urn:oid:2.16.840.1.113883.6.238</t>
        </is>
      </c>
      <c r="C301" t="inlineStr">
        <is>
          <t>1385-4</t>
        </is>
      </c>
      <c r="D301" t="inlineStr">
        <is>
          <t>Ramah Navajo</t>
        </is>
      </c>
      <c r="E301" t="inlineStr">
        <is>
          <t>detailed</t>
        </is>
      </c>
      <c r="F301" t="inlineStr">
        <is>
          <t>primary</t>
        </is>
      </c>
      <c r="G301" t="inlineStr">
        <is>
          <t>required</t>
        </is>
      </c>
      <c r="H301" t="inlineStr">
        <is>
          <t>true</t>
        </is>
      </c>
      <c r="I301" t="inlineStr">
        <is>
          <t>388</t>
        </is>
      </c>
      <c r="J301" t="inlineStr">
        <is>
          <t>HL7 ValueSet expand (2026-06-09)</t>
        </is>
      </c>
      <c r="K301" t="inlineStr">
        <is>
          <t>false</t>
        </is>
      </c>
    </row>
    <row r="302">
      <c r="A302" t="inlineStr">
        <is>
          <t>Patient.race</t>
        </is>
      </c>
      <c r="B302" t="inlineStr">
        <is>
          <t>urn:oid:2.16.840.1.113883.6.238</t>
        </is>
      </c>
      <c r="C302" t="inlineStr">
        <is>
          <t>1387-0</t>
        </is>
      </c>
      <c r="D302" t="inlineStr">
        <is>
          <t>Nez Perce</t>
        </is>
      </c>
      <c r="E302" t="inlineStr">
        <is>
          <t>detailed</t>
        </is>
      </c>
      <c r="F302" t="inlineStr">
        <is>
          <t>primary</t>
        </is>
      </c>
      <c r="G302" t="inlineStr">
        <is>
          <t>required</t>
        </is>
      </c>
      <c r="H302" t="inlineStr">
        <is>
          <t>true</t>
        </is>
      </c>
      <c r="I302" t="inlineStr">
        <is>
          <t>389</t>
        </is>
      </c>
      <c r="J302" t="inlineStr">
        <is>
          <t>HL7 ValueSet expand (2026-06-09)</t>
        </is>
      </c>
      <c r="K302" t="inlineStr">
        <is>
          <t>false</t>
        </is>
      </c>
    </row>
    <row r="303">
      <c r="A303" t="inlineStr">
        <is>
          <t>Patient.race</t>
        </is>
      </c>
      <c r="B303" t="inlineStr">
        <is>
          <t>urn:oid:2.16.840.1.113883.6.238</t>
        </is>
      </c>
      <c r="C303" t="inlineStr">
        <is>
          <t>1389-6</t>
        </is>
      </c>
      <c r="D303" t="inlineStr">
        <is>
          <t>Nomalaki</t>
        </is>
      </c>
      <c r="E303" t="inlineStr">
        <is>
          <t>detailed</t>
        </is>
      </c>
      <c r="F303" t="inlineStr">
        <is>
          <t>primary</t>
        </is>
      </c>
      <c r="G303" t="inlineStr">
        <is>
          <t>required</t>
        </is>
      </c>
      <c r="H303" t="inlineStr">
        <is>
          <t>true</t>
        </is>
      </c>
      <c r="I303" t="inlineStr">
        <is>
          <t>390</t>
        </is>
      </c>
      <c r="J303" t="inlineStr">
        <is>
          <t>HL7 ValueSet expand (2026-06-09)</t>
        </is>
      </c>
      <c r="K303" t="inlineStr">
        <is>
          <t>false</t>
        </is>
      </c>
    </row>
    <row r="304">
      <c r="A304" t="inlineStr">
        <is>
          <t>Patient.race</t>
        </is>
      </c>
      <c r="B304" t="inlineStr">
        <is>
          <t>urn:oid:2.16.840.1.113883.6.238</t>
        </is>
      </c>
      <c r="C304" t="inlineStr">
        <is>
          <t>1391-2</t>
        </is>
      </c>
      <c r="D304" t="inlineStr">
        <is>
          <t>Northwest Tribes</t>
        </is>
      </c>
      <c r="E304" t="inlineStr">
        <is>
          <t>detailed</t>
        </is>
      </c>
      <c r="F304" t="inlineStr">
        <is>
          <t>primary</t>
        </is>
      </c>
      <c r="G304" t="inlineStr">
        <is>
          <t>required</t>
        </is>
      </c>
      <c r="H304" t="inlineStr">
        <is>
          <t>true</t>
        </is>
      </c>
      <c r="I304" t="inlineStr">
        <is>
          <t>391</t>
        </is>
      </c>
      <c r="J304" t="inlineStr">
        <is>
          <t>HL7 ValueSet expand (2026-06-09)</t>
        </is>
      </c>
      <c r="K304" t="inlineStr">
        <is>
          <t>false</t>
        </is>
      </c>
    </row>
    <row r="305">
      <c r="A305" t="inlineStr">
        <is>
          <t>Patient.race</t>
        </is>
      </c>
      <c r="B305" t="inlineStr">
        <is>
          <t>urn:oid:2.16.840.1.113883.6.238</t>
        </is>
      </c>
      <c r="C305" t="inlineStr">
        <is>
          <t>1392-0</t>
        </is>
      </c>
      <c r="D305" t="inlineStr">
        <is>
          <t>Alsea</t>
        </is>
      </c>
      <c r="E305" t="inlineStr">
        <is>
          <t>detailed</t>
        </is>
      </c>
      <c r="F305" t="inlineStr">
        <is>
          <t>primary</t>
        </is>
      </c>
      <c r="G305" t="inlineStr">
        <is>
          <t>required</t>
        </is>
      </c>
      <c r="H305" t="inlineStr">
        <is>
          <t>true</t>
        </is>
      </c>
      <c r="I305" t="inlineStr">
        <is>
          <t>392</t>
        </is>
      </c>
      <c r="J305" t="inlineStr">
        <is>
          <t>HL7 ValueSet expand (2026-06-09)</t>
        </is>
      </c>
      <c r="K305" t="inlineStr">
        <is>
          <t>false</t>
        </is>
      </c>
    </row>
    <row r="306">
      <c r="A306" t="inlineStr">
        <is>
          <t>Patient.race</t>
        </is>
      </c>
      <c r="B306" t="inlineStr">
        <is>
          <t>urn:oid:2.16.840.1.113883.6.238</t>
        </is>
      </c>
      <c r="C306" t="inlineStr">
        <is>
          <t>1393-8</t>
        </is>
      </c>
      <c r="D306" t="inlineStr">
        <is>
          <t>Celilo</t>
        </is>
      </c>
      <c r="E306" t="inlineStr">
        <is>
          <t>detailed</t>
        </is>
      </c>
      <c r="F306" t="inlineStr">
        <is>
          <t>primary</t>
        </is>
      </c>
      <c r="G306" t="inlineStr">
        <is>
          <t>required</t>
        </is>
      </c>
      <c r="H306" t="inlineStr">
        <is>
          <t>true</t>
        </is>
      </c>
      <c r="I306" t="inlineStr">
        <is>
          <t>393</t>
        </is>
      </c>
      <c r="J306" t="inlineStr">
        <is>
          <t>HL7 ValueSet expand (2026-06-09)</t>
        </is>
      </c>
      <c r="K306" t="inlineStr">
        <is>
          <t>false</t>
        </is>
      </c>
    </row>
    <row r="307">
      <c r="A307" t="inlineStr">
        <is>
          <t>Patient.race</t>
        </is>
      </c>
      <c r="B307" t="inlineStr">
        <is>
          <t>urn:oid:2.16.840.1.113883.6.238</t>
        </is>
      </c>
      <c r="C307" t="inlineStr">
        <is>
          <t>1394-6</t>
        </is>
      </c>
      <c r="D307" t="inlineStr">
        <is>
          <t>Columbia</t>
        </is>
      </c>
      <c r="E307" t="inlineStr">
        <is>
          <t>detailed</t>
        </is>
      </c>
      <c r="F307" t="inlineStr">
        <is>
          <t>primary</t>
        </is>
      </c>
      <c r="G307" t="inlineStr">
        <is>
          <t>required</t>
        </is>
      </c>
      <c r="H307" t="inlineStr">
        <is>
          <t>true</t>
        </is>
      </c>
      <c r="I307" t="inlineStr">
        <is>
          <t>394</t>
        </is>
      </c>
      <c r="J307" t="inlineStr">
        <is>
          <t>HL7 ValueSet expand (2026-06-09)</t>
        </is>
      </c>
      <c r="K307" t="inlineStr">
        <is>
          <t>false</t>
        </is>
      </c>
    </row>
    <row r="308">
      <c r="A308" t="inlineStr">
        <is>
          <t>Patient.race</t>
        </is>
      </c>
      <c r="B308" t="inlineStr">
        <is>
          <t>urn:oid:2.16.840.1.113883.6.238</t>
        </is>
      </c>
      <c r="C308" t="inlineStr">
        <is>
          <t>1395-3</t>
        </is>
      </c>
      <c r="D308" t="inlineStr">
        <is>
          <t>Kalapuya</t>
        </is>
      </c>
      <c r="E308" t="inlineStr">
        <is>
          <t>detailed</t>
        </is>
      </c>
      <c r="F308" t="inlineStr">
        <is>
          <t>primary</t>
        </is>
      </c>
      <c r="G308" t="inlineStr">
        <is>
          <t>required</t>
        </is>
      </c>
      <c r="H308" t="inlineStr">
        <is>
          <t>true</t>
        </is>
      </c>
      <c r="I308" t="inlineStr">
        <is>
          <t>395</t>
        </is>
      </c>
      <c r="J308" t="inlineStr">
        <is>
          <t>HL7 ValueSet expand (2026-06-09)</t>
        </is>
      </c>
      <c r="K308" t="inlineStr">
        <is>
          <t>false</t>
        </is>
      </c>
    </row>
    <row r="309">
      <c r="A309" t="inlineStr">
        <is>
          <t>Patient.race</t>
        </is>
      </c>
      <c r="B309" t="inlineStr">
        <is>
          <t>urn:oid:2.16.840.1.113883.6.238</t>
        </is>
      </c>
      <c r="C309" t="inlineStr">
        <is>
          <t>1396-1</t>
        </is>
      </c>
      <c r="D309" t="inlineStr">
        <is>
          <t>Molala</t>
        </is>
      </c>
      <c r="E309" t="inlineStr">
        <is>
          <t>detailed</t>
        </is>
      </c>
      <c r="F309" t="inlineStr">
        <is>
          <t>primary</t>
        </is>
      </c>
      <c r="G309" t="inlineStr">
        <is>
          <t>required</t>
        </is>
      </c>
      <c r="H309" t="inlineStr">
        <is>
          <t>true</t>
        </is>
      </c>
      <c r="I309" t="inlineStr">
        <is>
          <t>396</t>
        </is>
      </c>
      <c r="J309" t="inlineStr">
        <is>
          <t>HL7 ValueSet expand (2026-06-09)</t>
        </is>
      </c>
      <c r="K309" t="inlineStr">
        <is>
          <t>false</t>
        </is>
      </c>
    </row>
    <row r="310">
      <c r="A310" t="inlineStr">
        <is>
          <t>Patient.race</t>
        </is>
      </c>
      <c r="B310" t="inlineStr">
        <is>
          <t>urn:oid:2.16.840.1.113883.6.238</t>
        </is>
      </c>
      <c r="C310" t="inlineStr">
        <is>
          <t>1397-9</t>
        </is>
      </c>
      <c r="D310" t="inlineStr">
        <is>
          <t>Talakamish</t>
        </is>
      </c>
      <c r="E310" t="inlineStr">
        <is>
          <t>detailed</t>
        </is>
      </c>
      <c r="F310" t="inlineStr">
        <is>
          <t>primary</t>
        </is>
      </c>
      <c r="G310" t="inlineStr">
        <is>
          <t>required</t>
        </is>
      </c>
      <c r="H310" t="inlineStr">
        <is>
          <t>true</t>
        </is>
      </c>
      <c r="I310" t="inlineStr">
        <is>
          <t>397</t>
        </is>
      </c>
      <c r="J310" t="inlineStr">
        <is>
          <t>HL7 ValueSet expand (2026-06-09)</t>
        </is>
      </c>
      <c r="K310" t="inlineStr">
        <is>
          <t>false</t>
        </is>
      </c>
    </row>
    <row r="311">
      <c r="A311" t="inlineStr">
        <is>
          <t>Patient.race</t>
        </is>
      </c>
      <c r="B311" t="inlineStr">
        <is>
          <t>urn:oid:2.16.840.1.113883.6.238</t>
        </is>
      </c>
      <c r="C311" t="inlineStr">
        <is>
          <t>1398-7</t>
        </is>
      </c>
      <c r="D311" t="inlineStr">
        <is>
          <t>Tenino</t>
        </is>
      </c>
      <c r="E311" t="inlineStr">
        <is>
          <t>detailed</t>
        </is>
      </c>
      <c r="F311" t="inlineStr">
        <is>
          <t>primary</t>
        </is>
      </c>
      <c r="G311" t="inlineStr">
        <is>
          <t>required</t>
        </is>
      </c>
      <c r="H311" t="inlineStr">
        <is>
          <t>true</t>
        </is>
      </c>
      <c r="I311" t="inlineStr">
        <is>
          <t>398</t>
        </is>
      </c>
      <c r="J311" t="inlineStr">
        <is>
          <t>HL7 ValueSet expand (2026-06-09)</t>
        </is>
      </c>
      <c r="K311" t="inlineStr">
        <is>
          <t>false</t>
        </is>
      </c>
    </row>
    <row r="312">
      <c r="A312" t="inlineStr">
        <is>
          <t>Patient.race</t>
        </is>
      </c>
      <c r="B312" t="inlineStr">
        <is>
          <t>urn:oid:2.16.840.1.113883.6.238</t>
        </is>
      </c>
      <c r="C312" t="inlineStr">
        <is>
          <t>1399-5</t>
        </is>
      </c>
      <c r="D312" t="inlineStr">
        <is>
          <t>Tillamook</t>
        </is>
      </c>
      <c r="E312" t="inlineStr">
        <is>
          <t>detailed</t>
        </is>
      </c>
      <c r="F312" t="inlineStr">
        <is>
          <t>primary</t>
        </is>
      </c>
      <c r="G312" t="inlineStr">
        <is>
          <t>required</t>
        </is>
      </c>
      <c r="H312" t="inlineStr">
        <is>
          <t>true</t>
        </is>
      </c>
      <c r="I312" t="inlineStr">
        <is>
          <t>399</t>
        </is>
      </c>
      <c r="J312" t="inlineStr">
        <is>
          <t>HL7 ValueSet expand (2026-06-09)</t>
        </is>
      </c>
      <c r="K312" t="inlineStr">
        <is>
          <t>false</t>
        </is>
      </c>
    </row>
    <row r="313">
      <c r="A313" t="inlineStr">
        <is>
          <t>Patient.race</t>
        </is>
      </c>
      <c r="B313" t="inlineStr">
        <is>
          <t>urn:oid:2.16.840.1.113883.6.238</t>
        </is>
      </c>
      <c r="C313" t="inlineStr">
        <is>
          <t>1400-1</t>
        </is>
      </c>
      <c r="D313" t="inlineStr">
        <is>
          <t>Wenatchee</t>
        </is>
      </c>
      <c r="E313" t="inlineStr">
        <is>
          <t>detailed</t>
        </is>
      </c>
      <c r="F313" t="inlineStr">
        <is>
          <t>primary</t>
        </is>
      </c>
      <c r="G313" t="inlineStr">
        <is>
          <t>required</t>
        </is>
      </c>
      <c r="H313" t="inlineStr">
        <is>
          <t>true</t>
        </is>
      </c>
      <c r="I313" t="inlineStr">
        <is>
          <t>400</t>
        </is>
      </c>
      <c r="J313" t="inlineStr">
        <is>
          <t>HL7 ValueSet expand (2026-06-09)</t>
        </is>
      </c>
      <c r="K313" t="inlineStr">
        <is>
          <t>false</t>
        </is>
      </c>
    </row>
    <row r="314">
      <c r="A314" t="inlineStr">
        <is>
          <t>Patient.race</t>
        </is>
      </c>
      <c r="B314" t="inlineStr">
        <is>
          <t>urn:oid:2.16.840.1.113883.6.238</t>
        </is>
      </c>
      <c r="C314" t="inlineStr">
        <is>
          <t>1401-9</t>
        </is>
      </c>
      <c r="D314" t="inlineStr">
        <is>
          <t>Yahooskin</t>
        </is>
      </c>
      <c r="E314" t="inlineStr">
        <is>
          <t>detailed</t>
        </is>
      </c>
      <c r="F314" t="inlineStr">
        <is>
          <t>primary</t>
        </is>
      </c>
      <c r="G314" t="inlineStr">
        <is>
          <t>required</t>
        </is>
      </c>
      <c r="H314" t="inlineStr">
        <is>
          <t>true</t>
        </is>
      </c>
      <c r="I314" t="inlineStr">
        <is>
          <t>401</t>
        </is>
      </c>
      <c r="J314" t="inlineStr">
        <is>
          <t>HL7 ValueSet expand (2026-06-09)</t>
        </is>
      </c>
      <c r="K314" t="inlineStr">
        <is>
          <t>false</t>
        </is>
      </c>
    </row>
    <row r="315">
      <c r="A315" t="inlineStr">
        <is>
          <t>Patient.race</t>
        </is>
      </c>
      <c r="B315" t="inlineStr">
        <is>
          <t>urn:oid:2.16.840.1.113883.6.238</t>
        </is>
      </c>
      <c r="C315" t="inlineStr">
        <is>
          <t>1403-5</t>
        </is>
      </c>
      <c r="D315" t="inlineStr">
        <is>
          <t>Omaha</t>
        </is>
      </c>
      <c r="E315" t="inlineStr">
        <is>
          <t>detailed</t>
        </is>
      </c>
      <c r="F315" t="inlineStr">
        <is>
          <t>primary</t>
        </is>
      </c>
      <c r="G315" t="inlineStr">
        <is>
          <t>required</t>
        </is>
      </c>
      <c r="H315" t="inlineStr">
        <is>
          <t>true</t>
        </is>
      </c>
      <c r="I315" t="inlineStr">
        <is>
          <t>402</t>
        </is>
      </c>
      <c r="J315" t="inlineStr">
        <is>
          <t>HL7 ValueSet expand (2026-06-09)</t>
        </is>
      </c>
      <c r="K315" t="inlineStr">
        <is>
          <t>false</t>
        </is>
      </c>
    </row>
    <row r="316">
      <c r="A316" t="inlineStr">
        <is>
          <t>Patient.race</t>
        </is>
      </c>
      <c r="B316" t="inlineStr">
        <is>
          <t>urn:oid:2.16.840.1.113883.6.238</t>
        </is>
      </c>
      <c r="C316" t="inlineStr">
        <is>
          <t>1405-0</t>
        </is>
      </c>
      <c r="D316" t="inlineStr">
        <is>
          <t>Oregon Athabaskan</t>
        </is>
      </c>
      <c r="E316" t="inlineStr">
        <is>
          <t>detailed</t>
        </is>
      </c>
      <c r="F316" t="inlineStr">
        <is>
          <t>primary</t>
        </is>
      </c>
      <c r="G316" t="inlineStr">
        <is>
          <t>required</t>
        </is>
      </c>
      <c r="H316" t="inlineStr">
        <is>
          <t>true</t>
        </is>
      </c>
      <c r="I316" t="inlineStr">
        <is>
          <t>403</t>
        </is>
      </c>
      <c r="J316" t="inlineStr">
        <is>
          <t>HL7 ValueSet expand (2026-06-09)</t>
        </is>
      </c>
      <c r="K316" t="inlineStr">
        <is>
          <t>false</t>
        </is>
      </c>
    </row>
    <row r="317">
      <c r="A317" t="inlineStr">
        <is>
          <t>Patient.race</t>
        </is>
      </c>
      <c r="B317" t="inlineStr">
        <is>
          <t>urn:oid:2.16.840.1.113883.6.238</t>
        </is>
      </c>
      <c r="C317" t="inlineStr">
        <is>
          <t>1407-6</t>
        </is>
      </c>
      <c r="D317" t="inlineStr">
        <is>
          <t>Osage</t>
        </is>
      </c>
      <c r="E317" t="inlineStr">
        <is>
          <t>detailed</t>
        </is>
      </c>
      <c r="F317" t="inlineStr">
        <is>
          <t>primary</t>
        </is>
      </c>
      <c r="G317" t="inlineStr">
        <is>
          <t>required</t>
        </is>
      </c>
      <c r="H317" t="inlineStr">
        <is>
          <t>true</t>
        </is>
      </c>
      <c r="I317" t="inlineStr">
        <is>
          <t>404</t>
        </is>
      </c>
      <c r="J317" t="inlineStr">
        <is>
          <t>HL7 ValueSet expand (2026-06-09)</t>
        </is>
      </c>
      <c r="K317" t="inlineStr">
        <is>
          <t>false</t>
        </is>
      </c>
    </row>
    <row r="318">
      <c r="A318" t="inlineStr">
        <is>
          <t>Patient.race</t>
        </is>
      </c>
      <c r="B318" t="inlineStr">
        <is>
          <t>urn:oid:2.16.840.1.113883.6.238</t>
        </is>
      </c>
      <c r="C318" t="inlineStr">
        <is>
          <t>1409-2</t>
        </is>
      </c>
      <c r="D318" t="inlineStr">
        <is>
          <t>Otoe-Missouria</t>
        </is>
      </c>
      <c r="E318" t="inlineStr">
        <is>
          <t>detailed</t>
        </is>
      </c>
      <c r="F318" t="inlineStr">
        <is>
          <t>primary</t>
        </is>
      </c>
      <c r="G318" t="inlineStr">
        <is>
          <t>required</t>
        </is>
      </c>
      <c r="H318" t="inlineStr">
        <is>
          <t>true</t>
        </is>
      </c>
      <c r="I318" t="inlineStr">
        <is>
          <t>405</t>
        </is>
      </c>
      <c r="J318" t="inlineStr">
        <is>
          <t>HL7 ValueSet expand (2026-06-09)</t>
        </is>
      </c>
      <c r="K318" t="inlineStr">
        <is>
          <t>false</t>
        </is>
      </c>
    </row>
    <row r="319">
      <c r="A319" t="inlineStr">
        <is>
          <t>Patient.race</t>
        </is>
      </c>
      <c r="B319" t="inlineStr">
        <is>
          <t>urn:oid:2.16.840.1.113883.6.238</t>
        </is>
      </c>
      <c r="C319" t="inlineStr">
        <is>
          <t>1411-8</t>
        </is>
      </c>
      <c r="D319" t="inlineStr">
        <is>
          <t>Ottawa</t>
        </is>
      </c>
      <c r="E319" t="inlineStr">
        <is>
          <t>detailed</t>
        </is>
      </c>
      <c r="F319" t="inlineStr">
        <is>
          <t>primary</t>
        </is>
      </c>
      <c r="G319" t="inlineStr">
        <is>
          <t>required</t>
        </is>
      </c>
      <c r="H319" t="inlineStr">
        <is>
          <t>true</t>
        </is>
      </c>
      <c r="I319" t="inlineStr">
        <is>
          <t>406</t>
        </is>
      </c>
      <c r="J319" t="inlineStr">
        <is>
          <t>HL7 ValueSet expand (2026-06-09)</t>
        </is>
      </c>
      <c r="K319" t="inlineStr">
        <is>
          <t>false</t>
        </is>
      </c>
    </row>
    <row r="320">
      <c r="A320" t="inlineStr">
        <is>
          <t>Patient.race</t>
        </is>
      </c>
      <c r="B320" t="inlineStr">
        <is>
          <t>urn:oid:2.16.840.1.113883.6.238</t>
        </is>
      </c>
      <c r="C320" t="inlineStr">
        <is>
          <t>1412-6</t>
        </is>
      </c>
      <c r="D320" t="inlineStr">
        <is>
          <t>Burt Lake Ottawa</t>
        </is>
      </c>
      <c r="E320" t="inlineStr">
        <is>
          <t>detailed</t>
        </is>
      </c>
      <c r="F320" t="inlineStr">
        <is>
          <t>primary</t>
        </is>
      </c>
      <c r="G320" t="inlineStr">
        <is>
          <t>required</t>
        </is>
      </c>
      <c r="H320" t="inlineStr">
        <is>
          <t>true</t>
        </is>
      </c>
      <c r="I320" t="inlineStr">
        <is>
          <t>407</t>
        </is>
      </c>
      <c r="J320" t="inlineStr">
        <is>
          <t>HL7 ValueSet expand (2026-06-09)</t>
        </is>
      </c>
      <c r="K320" t="inlineStr">
        <is>
          <t>false</t>
        </is>
      </c>
    </row>
    <row r="321">
      <c r="A321" t="inlineStr">
        <is>
          <t>Patient.race</t>
        </is>
      </c>
      <c r="B321" t="inlineStr">
        <is>
          <t>urn:oid:2.16.840.1.113883.6.238</t>
        </is>
      </c>
      <c r="C321" t="inlineStr">
        <is>
          <t>1413-4</t>
        </is>
      </c>
      <c r="D321" t="inlineStr">
        <is>
          <t>Michigan Ottawa</t>
        </is>
      </c>
      <c r="E321" t="inlineStr">
        <is>
          <t>detailed</t>
        </is>
      </c>
      <c r="F321" t="inlineStr">
        <is>
          <t>primary</t>
        </is>
      </c>
      <c r="G321" t="inlineStr">
        <is>
          <t>required</t>
        </is>
      </c>
      <c r="H321" t="inlineStr">
        <is>
          <t>true</t>
        </is>
      </c>
      <c r="I321" t="inlineStr">
        <is>
          <t>408</t>
        </is>
      </c>
      <c r="J321" t="inlineStr">
        <is>
          <t>HL7 ValueSet expand (2026-06-09)</t>
        </is>
      </c>
      <c r="K321" t="inlineStr">
        <is>
          <t>false</t>
        </is>
      </c>
    </row>
    <row r="322">
      <c r="A322" t="inlineStr">
        <is>
          <t>Patient.race</t>
        </is>
      </c>
      <c r="B322" t="inlineStr">
        <is>
          <t>urn:oid:2.16.840.1.113883.6.238</t>
        </is>
      </c>
      <c r="C322" t="inlineStr">
        <is>
          <t>1414-2</t>
        </is>
      </c>
      <c r="D322" t="inlineStr">
        <is>
          <t>Oklahoma Ottawa</t>
        </is>
      </c>
      <c r="E322" t="inlineStr">
        <is>
          <t>detailed</t>
        </is>
      </c>
      <c r="F322" t="inlineStr">
        <is>
          <t>primary</t>
        </is>
      </c>
      <c r="G322" t="inlineStr">
        <is>
          <t>required</t>
        </is>
      </c>
      <c r="H322" t="inlineStr">
        <is>
          <t>true</t>
        </is>
      </c>
      <c r="I322" t="inlineStr">
        <is>
          <t>409</t>
        </is>
      </c>
      <c r="J322" t="inlineStr">
        <is>
          <t>HL7 ValueSet expand (2026-06-09)</t>
        </is>
      </c>
      <c r="K322" t="inlineStr">
        <is>
          <t>false</t>
        </is>
      </c>
    </row>
    <row r="323">
      <c r="A323" t="inlineStr">
        <is>
          <t>Patient.race</t>
        </is>
      </c>
      <c r="B323" t="inlineStr">
        <is>
          <t>urn:oid:2.16.840.1.113883.6.238</t>
        </is>
      </c>
      <c r="C323" t="inlineStr">
        <is>
          <t>1416-7</t>
        </is>
      </c>
      <c r="D323" t="inlineStr">
        <is>
          <t>Paiute</t>
        </is>
      </c>
      <c r="E323" t="inlineStr">
        <is>
          <t>detailed</t>
        </is>
      </c>
      <c r="F323" t="inlineStr">
        <is>
          <t>primary</t>
        </is>
      </c>
      <c r="G323" t="inlineStr">
        <is>
          <t>required</t>
        </is>
      </c>
      <c r="H323" t="inlineStr">
        <is>
          <t>true</t>
        </is>
      </c>
      <c r="I323" t="inlineStr">
        <is>
          <t>410</t>
        </is>
      </c>
      <c r="J323" t="inlineStr">
        <is>
          <t>HL7 ValueSet expand (2026-06-09)</t>
        </is>
      </c>
      <c r="K323" t="inlineStr">
        <is>
          <t>false</t>
        </is>
      </c>
    </row>
    <row r="324">
      <c r="A324" t="inlineStr">
        <is>
          <t>Patient.race</t>
        </is>
      </c>
      <c r="B324" t="inlineStr">
        <is>
          <t>urn:oid:2.16.840.1.113883.6.238</t>
        </is>
      </c>
      <c r="C324" t="inlineStr">
        <is>
          <t>1417-5</t>
        </is>
      </c>
      <c r="D324" t="inlineStr">
        <is>
          <t>Bishop</t>
        </is>
      </c>
      <c r="E324" t="inlineStr">
        <is>
          <t>detailed</t>
        </is>
      </c>
      <c r="F324" t="inlineStr">
        <is>
          <t>primary</t>
        </is>
      </c>
      <c r="G324" t="inlineStr">
        <is>
          <t>required</t>
        </is>
      </c>
      <c r="H324" t="inlineStr">
        <is>
          <t>true</t>
        </is>
      </c>
      <c r="I324" t="inlineStr">
        <is>
          <t>411</t>
        </is>
      </c>
      <c r="J324" t="inlineStr">
        <is>
          <t>HL7 ValueSet expand (2026-06-09)</t>
        </is>
      </c>
      <c r="K324" t="inlineStr">
        <is>
          <t>false</t>
        </is>
      </c>
    </row>
    <row r="325">
      <c r="A325" t="inlineStr">
        <is>
          <t>Patient.race</t>
        </is>
      </c>
      <c r="B325" t="inlineStr">
        <is>
          <t>urn:oid:2.16.840.1.113883.6.238</t>
        </is>
      </c>
      <c r="C325" t="inlineStr">
        <is>
          <t>1418-3</t>
        </is>
      </c>
      <c r="D325" t="inlineStr">
        <is>
          <t>Bridgeport</t>
        </is>
      </c>
      <c r="E325" t="inlineStr">
        <is>
          <t>detailed</t>
        </is>
      </c>
      <c r="F325" t="inlineStr">
        <is>
          <t>primary</t>
        </is>
      </c>
      <c r="G325" t="inlineStr">
        <is>
          <t>required</t>
        </is>
      </c>
      <c r="H325" t="inlineStr">
        <is>
          <t>true</t>
        </is>
      </c>
      <c r="I325" t="inlineStr">
        <is>
          <t>412</t>
        </is>
      </c>
      <c r="J325" t="inlineStr">
        <is>
          <t>HL7 ValueSet expand (2026-06-09)</t>
        </is>
      </c>
      <c r="K325" t="inlineStr">
        <is>
          <t>false</t>
        </is>
      </c>
    </row>
    <row r="326">
      <c r="A326" t="inlineStr">
        <is>
          <t>Patient.race</t>
        </is>
      </c>
      <c r="B326" t="inlineStr">
        <is>
          <t>urn:oid:2.16.840.1.113883.6.238</t>
        </is>
      </c>
      <c r="C326" t="inlineStr">
        <is>
          <t>1419-1</t>
        </is>
      </c>
      <c r="D326" t="inlineStr">
        <is>
          <t>Burns Paiute</t>
        </is>
      </c>
      <c r="E326" t="inlineStr">
        <is>
          <t>detailed</t>
        </is>
      </c>
      <c r="F326" t="inlineStr">
        <is>
          <t>primary</t>
        </is>
      </c>
      <c r="G326" t="inlineStr">
        <is>
          <t>required</t>
        </is>
      </c>
      <c r="H326" t="inlineStr">
        <is>
          <t>true</t>
        </is>
      </c>
      <c r="I326" t="inlineStr">
        <is>
          <t>413</t>
        </is>
      </c>
      <c r="J326" t="inlineStr">
        <is>
          <t>HL7 ValueSet expand (2026-06-09)</t>
        </is>
      </c>
      <c r="K326" t="inlineStr">
        <is>
          <t>false</t>
        </is>
      </c>
    </row>
    <row r="327">
      <c r="A327" t="inlineStr">
        <is>
          <t>Patient.race</t>
        </is>
      </c>
      <c r="B327" t="inlineStr">
        <is>
          <t>urn:oid:2.16.840.1.113883.6.238</t>
        </is>
      </c>
      <c r="C327" t="inlineStr">
        <is>
          <t>1420-9</t>
        </is>
      </c>
      <c r="D327" t="inlineStr">
        <is>
          <t>Cedarville</t>
        </is>
      </c>
      <c r="E327" t="inlineStr">
        <is>
          <t>detailed</t>
        </is>
      </c>
      <c r="F327" t="inlineStr">
        <is>
          <t>primary</t>
        </is>
      </c>
      <c r="G327" t="inlineStr">
        <is>
          <t>required</t>
        </is>
      </c>
      <c r="H327" t="inlineStr">
        <is>
          <t>true</t>
        </is>
      </c>
      <c r="I327" t="inlineStr">
        <is>
          <t>414</t>
        </is>
      </c>
      <c r="J327" t="inlineStr">
        <is>
          <t>HL7 ValueSet expand (2026-06-09)</t>
        </is>
      </c>
      <c r="K327" t="inlineStr">
        <is>
          <t>false</t>
        </is>
      </c>
    </row>
    <row r="328">
      <c r="A328" t="inlineStr">
        <is>
          <t>Patient.race</t>
        </is>
      </c>
      <c r="B328" t="inlineStr">
        <is>
          <t>urn:oid:2.16.840.1.113883.6.238</t>
        </is>
      </c>
      <c r="C328" t="inlineStr">
        <is>
          <t>1421-7</t>
        </is>
      </c>
      <c r="D328" t="inlineStr">
        <is>
          <t>Fort Bidwell</t>
        </is>
      </c>
      <c r="E328" t="inlineStr">
        <is>
          <t>detailed</t>
        </is>
      </c>
      <c r="F328" t="inlineStr">
        <is>
          <t>primary</t>
        </is>
      </c>
      <c r="G328" t="inlineStr">
        <is>
          <t>required</t>
        </is>
      </c>
      <c r="H328" t="inlineStr">
        <is>
          <t>true</t>
        </is>
      </c>
      <c r="I328" t="inlineStr">
        <is>
          <t>415</t>
        </is>
      </c>
      <c r="J328" t="inlineStr">
        <is>
          <t>HL7 ValueSet expand (2026-06-09)</t>
        </is>
      </c>
      <c r="K328" t="inlineStr">
        <is>
          <t>false</t>
        </is>
      </c>
    </row>
    <row r="329">
      <c r="A329" t="inlineStr">
        <is>
          <t>Patient.race</t>
        </is>
      </c>
      <c r="B329" t="inlineStr">
        <is>
          <t>urn:oid:2.16.840.1.113883.6.238</t>
        </is>
      </c>
      <c r="C329" t="inlineStr">
        <is>
          <t>1422-5</t>
        </is>
      </c>
      <c r="D329" t="inlineStr">
        <is>
          <t>Fort Independence</t>
        </is>
      </c>
      <c r="E329" t="inlineStr">
        <is>
          <t>detailed</t>
        </is>
      </c>
      <c r="F329" t="inlineStr">
        <is>
          <t>primary</t>
        </is>
      </c>
      <c r="G329" t="inlineStr">
        <is>
          <t>required</t>
        </is>
      </c>
      <c r="H329" t="inlineStr">
        <is>
          <t>true</t>
        </is>
      </c>
      <c r="I329" t="inlineStr">
        <is>
          <t>416</t>
        </is>
      </c>
      <c r="J329" t="inlineStr">
        <is>
          <t>HL7 ValueSet expand (2026-06-09)</t>
        </is>
      </c>
      <c r="K329" t="inlineStr">
        <is>
          <t>false</t>
        </is>
      </c>
    </row>
    <row r="330">
      <c r="A330" t="inlineStr">
        <is>
          <t>Patient.race</t>
        </is>
      </c>
      <c r="B330" t="inlineStr">
        <is>
          <t>urn:oid:2.16.840.1.113883.6.238</t>
        </is>
      </c>
      <c r="C330" t="inlineStr">
        <is>
          <t>1423-3</t>
        </is>
      </c>
      <c r="D330" t="inlineStr">
        <is>
          <t>Kaibab</t>
        </is>
      </c>
      <c r="E330" t="inlineStr">
        <is>
          <t>detailed</t>
        </is>
      </c>
      <c r="F330" t="inlineStr">
        <is>
          <t>primary</t>
        </is>
      </c>
      <c r="G330" t="inlineStr">
        <is>
          <t>required</t>
        </is>
      </c>
      <c r="H330" t="inlineStr">
        <is>
          <t>true</t>
        </is>
      </c>
      <c r="I330" t="inlineStr">
        <is>
          <t>417</t>
        </is>
      </c>
      <c r="J330" t="inlineStr">
        <is>
          <t>HL7 ValueSet expand (2026-06-09)</t>
        </is>
      </c>
      <c r="K330" t="inlineStr">
        <is>
          <t>false</t>
        </is>
      </c>
    </row>
    <row r="331">
      <c r="A331" t="inlineStr">
        <is>
          <t>Patient.race</t>
        </is>
      </c>
      <c r="B331" t="inlineStr">
        <is>
          <t>urn:oid:2.16.840.1.113883.6.238</t>
        </is>
      </c>
      <c r="C331" t="inlineStr">
        <is>
          <t>1424-1</t>
        </is>
      </c>
      <c r="D331" t="inlineStr">
        <is>
          <t>Las Vegas</t>
        </is>
      </c>
      <c r="E331" t="inlineStr">
        <is>
          <t>detailed</t>
        </is>
      </c>
      <c r="F331" t="inlineStr">
        <is>
          <t>primary</t>
        </is>
      </c>
      <c r="G331" t="inlineStr">
        <is>
          <t>required</t>
        </is>
      </c>
      <c r="H331" t="inlineStr">
        <is>
          <t>true</t>
        </is>
      </c>
      <c r="I331" t="inlineStr">
        <is>
          <t>418</t>
        </is>
      </c>
      <c r="J331" t="inlineStr">
        <is>
          <t>HL7 ValueSet expand (2026-06-09)</t>
        </is>
      </c>
      <c r="K331" t="inlineStr">
        <is>
          <t>false</t>
        </is>
      </c>
    </row>
    <row r="332">
      <c r="A332" t="inlineStr">
        <is>
          <t>Patient.race</t>
        </is>
      </c>
      <c r="B332" t="inlineStr">
        <is>
          <t>urn:oid:2.16.840.1.113883.6.238</t>
        </is>
      </c>
      <c r="C332" t="inlineStr">
        <is>
          <t>1425-8</t>
        </is>
      </c>
      <c r="D332" t="inlineStr">
        <is>
          <t>Lone Pine</t>
        </is>
      </c>
      <c r="E332" t="inlineStr">
        <is>
          <t>detailed</t>
        </is>
      </c>
      <c r="F332" t="inlineStr">
        <is>
          <t>primary</t>
        </is>
      </c>
      <c r="G332" t="inlineStr">
        <is>
          <t>required</t>
        </is>
      </c>
      <c r="H332" t="inlineStr">
        <is>
          <t>true</t>
        </is>
      </c>
      <c r="I332" t="inlineStr">
        <is>
          <t>419</t>
        </is>
      </c>
      <c r="J332" t="inlineStr">
        <is>
          <t>HL7 ValueSet expand (2026-06-09)</t>
        </is>
      </c>
      <c r="K332" t="inlineStr">
        <is>
          <t>false</t>
        </is>
      </c>
    </row>
    <row r="333">
      <c r="A333" t="inlineStr">
        <is>
          <t>Patient.race</t>
        </is>
      </c>
      <c r="B333" t="inlineStr">
        <is>
          <t>urn:oid:2.16.840.1.113883.6.238</t>
        </is>
      </c>
      <c r="C333" t="inlineStr">
        <is>
          <t>1426-6</t>
        </is>
      </c>
      <c r="D333" t="inlineStr">
        <is>
          <t>Lovelock</t>
        </is>
      </c>
      <c r="E333" t="inlineStr">
        <is>
          <t>detailed</t>
        </is>
      </c>
      <c r="F333" t="inlineStr">
        <is>
          <t>primary</t>
        </is>
      </c>
      <c r="G333" t="inlineStr">
        <is>
          <t>required</t>
        </is>
      </c>
      <c r="H333" t="inlineStr">
        <is>
          <t>true</t>
        </is>
      </c>
      <c r="I333" t="inlineStr">
        <is>
          <t>420</t>
        </is>
      </c>
      <c r="J333" t="inlineStr">
        <is>
          <t>HL7 ValueSet expand (2026-06-09)</t>
        </is>
      </c>
      <c r="K333" t="inlineStr">
        <is>
          <t>false</t>
        </is>
      </c>
    </row>
    <row r="334">
      <c r="A334" t="inlineStr">
        <is>
          <t>Patient.race</t>
        </is>
      </c>
      <c r="B334" t="inlineStr">
        <is>
          <t>urn:oid:2.16.840.1.113883.6.238</t>
        </is>
      </c>
      <c r="C334" t="inlineStr">
        <is>
          <t>1427-4</t>
        </is>
      </c>
      <c r="D334" t="inlineStr">
        <is>
          <t>Malheur Paiute</t>
        </is>
      </c>
      <c r="E334" t="inlineStr">
        <is>
          <t>detailed</t>
        </is>
      </c>
      <c r="F334" t="inlineStr">
        <is>
          <t>primary</t>
        </is>
      </c>
      <c r="G334" t="inlineStr">
        <is>
          <t>required</t>
        </is>
      </c>
      <c r="H334" t="inlineStr">
        <is>
          <t>true</t>
        </is>
      </c>
      <c r="I334" t="inlineStr">
        <is>
          <t>421</t>
        </is>
      </c>
      <c r="J334" t="inlineStr">
        <is>
          <t>HL7 ValueSet expand (2026-06-09)</t>
        </is>
      </c>
      <c r="K334" t="inlineStr">
        <is>
          <t>false</t>
        </is>
      </c>
    </row>
    <row r="335">
      <c r="A335" t="inlineStr">
        <is>
          <t>Patient.race</t>
        </is>
      </c>
      <c r="B335" t="inlineStr">
        <is>
          <t>urn:oid:2.16.840.1.113883.6.238</t>
        </is>
      </c>
      <c r="C335" t="inlineStr">
        <is>
          <t>1428-2</t>
        </is>
      </c>
      <c r="D335" t="inlineStr">
        <is>
          <t>Moapa</t>
        </is>
      </c>
      <c r="E335" t="inlineStr">
        <is>
          <t>detailed</t>
        </is>
      </c>
      <c r="F335" t="inlineStr">
        <is>
          <t>primary</t>
        </is>
      </c>
      <c r="G335" t="inlineStr">
        <is>
          <t>required</t>
        </is>
      </c>
      <c r="H335" t="inlineStr">
        <is>
          <t>true</t>
        </is>
      </c>
      <c r="I335" t="inlineStr">
        <is>
          <t>422</t>
        </is>
      </c>
      <c r="J335" t="inlineStr">
        <is>
          <t>HL7 ValueSet expand (2026-06-09)</t>
        </is>
      </c>
      <c r="K335" t="inlineStr">
        <is>
          <t>false</t>
        </is>
      </c>
    </row>
    <row r="336">
      <c r="A336" t="inlineStr">
        <is>
          <t>Patient.race</t>
        </is>
      </c>
      <c r="B336" t="inlineStr">
        <is>
          <t>urn:oid:2.16.840.1.113883.6.238</t>
        </is>
      </c>
      <c r="C336" t="inlineStr">
        <is>
          <t>1429-0</t>
        </is>
      </c>
      <c r="D336" t="inlineStr">
        <is>
          <t>Northern Paiute</t>
        </is>
      </c>
      <c r="E336" t="inlineStr">
        <is>
          <t>detailed</t>
        </is>
      </c>
      <c r="F336" t="inlineStr">
        <is>
          <t>primary</t>
        </is>
      </c>
      <c r="G336" t="inlineStr">
        <is>
          <t>required</t>
        </is>
      </c>
      <c r="H336" t="inlineStr">
        <is>
          <t>true</t>
        </is>
      </c>
      <c r="I336" t="inlineStr">
        <is>
          <t>423</t>
        </is>
      </c>
      <c r="J336" t="inlineStr">
        <is>
          <t>HL7 ValueSet expand (2026-06-09)</t>
        </is>
      </c>
      <c r="K336" t="inlineStr">
        <is>
          <t>false</t>
        </is>
      </c>
    </row>
    <row r="337">
      <c r="A337" t="inlineStr">
        <is>
          <t>Patient.race</t>
        </is>
      </c>
      <c r="B337" t="inlineStr">
        <is>
          <t>urn:oid:2.16.840.1.113883.6.238</t>
        </is>
      </c>
      <c r="C337" t="inlineStr">
        <is>
          <t>1430-8</t>
        </is>
      </c>
      <c r="D337" t="inlineStr">
        <is>
          <t>Owens Valley</t>
        </is>
      </c>
      <c r="E337" t="inlineStr">
        <is>
          <t>detailed</t>
        </is>
      </c>
      <c r="F337" t="inlineStr">
        <is>
          <t>primary</t>
        </is>
      </c>
      <c r="G337" t="inlineStr">
        <is>
          <t>required</t>
        </is>
      </c>
      <c r="H337" t="inlineStr">
        <is>
          <t>true</t>
        </is>
      </c>
      <c r="I337" t="inlineStr">
        <is>
          <t>424</t>
        </is>
      </c>
      <c r="J337" t="inlineStr">
        <is>
          <t>HL7 ValueSet expand (2026-06-09)</t>
        </is>
      </c>
      <c r="K337" t="inlineStr">
        <is>
          <t>false</t>
        </is>
      </c>
    </row>
    <row r="338">
      <c r="A338" t="inlineStr">
        <is>
          <t>Patient.race</t>
        </is>
      </c>
      <c r="B338" t="inlineStr">
        <is>
          <t>urn:oid:2.16.840.1.113883.6.238</t>
        </is>
      </c>
      <c r="C338" t="inlineStr">
        <is>
          <t>1431-6</t>
        </is>
      </c>
      <c r="D338" t="inlineStr">
        <is>
          <t>Pyramid Lake</t>
        </is>
      </c>
      <c r="E338" t="inlineStr">
        <is>
          <t>detailed</t>
        </is>
      </c>
      <c r="F338" t="inlineStr">
        <is>
          <t>primary</t>
        </is>
      </c>
      <c r="G338" t="inlineStr">
        <is>
          <t>required</t>
        </is>
      </c>
      <c r="H338" t="inlineStr">
        <is>
          <t>true</t>
        </is>
      </c>
      <c r="I338" t="inlineStr">
        <is>
          <t>425</t>
        </is>
      </c>
      <c r="J338" t="inlineStr">
        <is>
          <t>HL7 ValueSet expand (2026-06-09)</t>
        </is>
      </c>
      <c r="K338" t="inlineStr">
        <is>
          <t>false</t>
        </is>
      </c>
    </row>
    <row r="339">
      <c r="A339" t="inlineStr">
        <is>
          <t>Patient.race</t>
        </is>
      </c>
      <c r="B339" t="inlineStr">
        <is>
          <t>urn:oid:2.16.840.1.113883.6.238</t>
        </is>
      </c>
      <c r="C339" t="inlineStr">
        <is>
          <t>1432-4</t>
        </is>
      </c>
      <c r="D339" t="inlineStr">
        <is>
          <t>San Juan Southern Paiute</t>
        </is>
      </c>
      <c r="E339" t="inlineStr">
        <is>
          <t>detailed</t>
        </is>
      </c>
      <c r="F339" t="inlineStr">
        <is>
          <t>primary</t>
        </is>
      </c>
      <c r="G339" t="inlineStr">
        <is>
          <t>required</t>
        </is>
      </c>
      <c r="H339" t="inlineStr">
        <is>
          <t>true</t>
        </is>
      </c>
      <c r="I339" t="inlineStr">
        <is>
          <t>426</t>
        </is>
      </c>
      <c r="J339" t="inlineStr">
        <is>
          <t>HL7 ValueSet expand (2026-06-09)</t>
        </is>
      </c>
      <c r="K339" t="inlineStr">
        <is>
          <t>false</t>
        </is>
      </c>
    </row>
    <row r="340">
      <c r="A340" t="inlineStr">
        <is>
          <t>Patient.race</t>
        </is>
      </c>
      <c r="B340" t="inlineStr">
        <is>
          <t>urn:oid:2.16.840.1.113883.6.238</t>
        </is>
      </c>
      <c r="C340" t="inlineStr">
        <is>
          <t>1433-2</t>
        </is>
      </c>
      <c r="D340" t="inlineStr">
        <is>
          <t>Southern Paiute</t>
        </is>
      </c>
      <c r="E340" t="inlineStr">
        <is>
          <t>detailed</t>
        </is>
      </c>
      <c r="F340" t="inlineStr">
        <is>
          <t>primary</t>
        </is>
      </c>
      <c r="G340" t="inlineStr">
        <is>
          <t>required</t>
        </is>
      </c>
      <c r="H340" t="inlineStr">
        <is>
          <t>true</t>
        </is>
      </c>
      <c r="I340" t="inlineStr">
        <is>
          <t>427</t>
        </is>
      </c>
      <c r="J340" t="inlineStr">
        <is>
          <t>HL7 ValueSet expand (2026-06-09)</t>
        </is>
      </c>
      <c r="K340" t="inlineStr">
        <is>
          <t>false</t>
        </is>
      </c>
    </row>
    <row r="341">
      <c r="A341" t="inlineStr">
        <is>
          <t>Patient.race</t>
        </is>
      </c>
      <c r="B341" t="inlineStr">
        <is>
          <t>urn:oid:2.16.840.1.113883.6.238</t>
        </is>
      </c>
      <c r="C341" t="inlineStr">
        <is>
          <t>1434-0</t>
        </is>
      </c>
      <c r="D341" t="inlineStr">
        <is>
          <t>Summit Lake</t>
        </is>
      </c>
      <c r="E341" t="inlineStr">
        <is>
          <t>detailed</t>
        </is>
      </c>
      <c r="F341" t="inlineStr">
        <is>
          <t>primary</t>
        </is>
      </c>
      <c r="G341" t="inlineStr">
        <is>
          <t>required</t>
        </is>
      </c>
      <c r="H341" t="inlineStr">
        <is>
          <t>true</t>
        </is>
      </c>
      <c r="I341" t="inlineStr">
        <is>
          <t>428</t>
        </is>
      </c>
      <c r="J341" t="inlineStr">
        <is>
          <t>HL7 ValueSet expand (2026-06-09)</t>
        </is>
      </c>
      <c r="K341" t="inlineStr">
        <is>
          <t>false</t>
        </is>
      </c>
    </row>
    <row r="342">
      <c r="A342" t="inlineStr">
        <is>
          <t>Patient.race</t>
        </is>
      </c>
      <c r="B342" t="inlineStr">
        <is>
          <t>urn:oid:2.16.840.1.113883.6.238</t>
        </is>
      </c>
      <c r="C342" t="inlineStr">
        <is>
          <t>1435-7</t>
        </is>
      </c>
      <c r="D342" t="inlineStr">
        <is>
          <t>Utu Utu Gwaitu Paiute</t>
        </is>
      </c>
      <c r="E342" t="inlineStr">
        <is>
          <t>detailed</t>
        </is>
      </c>
      <c r="F342" t="inlineStr">
        <is>
          <t>primary</t>
        </is>
      </c>
      <c r="G342" t="inlineStr">
        <is>
          <t>required</t>
        </is>
      </c>
      <c r="H342" t="inlineStr">
        <is>
          <t>true</t>
        </is>
      </c>
      <c r="I342" t="inlineStr">
        <is>
          <t>429</t>
        </is>
      </c>
      <c r="J342" t="inlineStr">
        <is>
          <t>HL7 ValueSet expand (2026-06-09)</t>
        </is>
      </c>
      <c r="K342" t="inlineStr">
        <is>
          <t>false</t>
        </is>
      </c>
    </row>
    <row r="343">
      <c r="A343" t="inlineStr">
        <is>
          <t>Patient.race</t>
        </is>
      </c>
      <c r="B343" t="inlineStr">
        <is>
          <t>urn:oid:2.16.840.1.113883.6.238</t>
        </is>
      </c>
      <c r="C343" t="inlineStr">
        <is>
          <t>1436-5</t>
        </is>
      </c>
      <c r="D343" t="inlineStr">
        <is>
          <t>Walker River</t>
        </is>
      </c>
      <c r="E343" t="inlineStr">
        <is>
          <t>detailed</t>
        </is>
      </c>
      <c r="F343" t="inlineStr">
        <is>
          <t>primary</t>
        </is>
      </c>
      <c r="G343" t="inlineStr">
        <is>
          <t>required</t>
        </is>
      </c>
      <c r="H343" t="inlineStr">
        <is>
          <t>true</t>
        </is>
      </c>
      <c r="I343" t="inlineStr">
        <is>
          <t>430</t>
        </is>
      </c>
      <c r="J343" t="inlineStr">
        <is>
          <t>HL7 ValueSet expand (2026-06-09)</t>
        </is>
      </c>
      <c r="K343" t="inlineStr">
        <is>
          <t>false</t>
        </is>
      </c>
    </row>
    <row r="344">
      <c r="A344" t="inlineStr">
        <is>
          <t>Patient.race</t>
        </is>
      </c>
      <c r="B344" t="inlineStr">
        <is>
          <t>urn:oid:2.16.840.1.113883.6.238</t>
        </is>
      </c>
      <c r="C344" t="inlineStr">
        <is>
          <t>1437-3</t>
        </is>
      </c>
      <c r="D344" t="inlineStr">
        <is>
          <t>Yerington Paiute</t>
        </is>
      </c>
      <c r="E344" t="inlineStr">
        <is>
          <t>detailed</t>
        </is>
      </c>
      <c r="F344" t="inlineStr">
        <is>
          <t>primary</t>
        </is>
      </c>
      <c r="G344" t="inlineStr">
        <is>
          <t>required</t>
        </is>
      </c>
      <c r="H344" t="inlineStr">
        <is>
          <t>true</t>
        </is>
      </c>
      <c r="I344" t="inlineStr">
        <is>
          <t>431</t>
        </is>
      </c>
      <c r="J344" t="inlineStr">
        <is>
          <t>HL7 ValueSet expand (2026-06-09)</t>
        </is>
      </c>
      <c r="K344" t="inlineStr">
        <is>
          <t>false</t>
        </is>
      </c>
    </row>
    <row r="345">
      <c r="A345" t="inlineStr">
        <is>
          <t>Patient.race</t>
        </is>
      </c>
      <c r="B345" t="inlineStr">
        <is>
          <t>urn:oid:2.16.840.1.113883.6.238</t>
        </is>
      </c>
      <c r="C345" t="inlineStr">
        <is>
          <t>1439-9</t>
        </is>
      </c>
      <c r="D345" t="inlineStr">
        <is>
          <t>Pamunkey</t>
        </is>
      </c>
      <c r="E345" t="inlineStr">
        <is>
          <t>detailed</t>
        </is>
      </c>
      <c r="F345" t="inlineStr">
        <is>
          <t>primary</t>
        </is>
      </c>
      <c r="G345" t="inlineStr">
        <is>
          <t>required</t>
        </is>
      </c>
      <c r="H345" t="inlineStr">
        <is>
          <t>true</t>
        </is>
      </c>
      <c r="I345" t="inlineStr">
        <is>
          <t>432</t>
        </is>
      </c>
      <c r="J345" t="inlineStr">
        <is>
          <t>HL7 ValueSet expand (2026-06-09)</t>
        </is>
      </c>
      <c r="K345" t="inlineStr">
        <is>
          <t>false</t>
        </is>
      </c>
    </row>
    <row r="346">
      <c r="A346" t="inlineStr">
        <is>
          <t>Patient.race</t>
        </is>
      </c>
      <c r="B346" t="inlineStr">
        <is>
          <t>urn:oid:2.16.840.1.113883.6.238</t>
        </is>
      </c>
      <c r="C346" t="inlineStr">
        <is>
          <t>1441-5</t>
        </is>
      </c>
      <c r="D346" t="inlineStr">
        <is>
          <t>Passamaquoddy</t>
        </is>
      </c>
      <c r="E346" t="inlineStr">
        <is>
          <t>detailed</t>
        </is>
      </c>
      <c r="F346" t="inlineStr">
        <is>
          <t>primary</t>
        </is>
      </c>
      <c r="G346" t="inlineStr">
        <is>
          <t>required</t>
        </is>
      </c>
      <c r="H346" t="inlineStr">
        <is>
          <t>true</t>
        </is>
      </c>
      <c r="I346" t="inlineStr">
        <is>
          <t>433</t>
        </is>
      </c>
      <c r="J346" t="inlineStr">
        <is>
          <t>HL7 ValueSet expand (2026-06-09)</t>
        </is>
      </c>
      <c r="K346" t="inlineStr">
        <is>
          <t>false</t>
        </is>
      </c>
    </row>
    <row r="347">
      <c r="A347" t="inlineStr">
        <is>
          <t>Patient.race</t>
        </is>
      </c>
      <c r="B347" t="inlineStr">
        <is>
          <t>urn:oid:2.16.840.1.113883.6.238</t>
        </is>
      </c>
      <c r="C347" t="inlineStr">
        <is>
          <t>1442-3</t>
        </is>
      </c>
      <c r="D347" t="inlineStr">
        <is>
          <t>Indian Township</t>
        </is>
      </c>
      <c r="E347" t="inlineStr">
        <is>
          <t>detailed</t>
        </is>
      </c>
      <c r="F347" t="inlineStr">
        <is>
          <t>primary</t>
        </is>
      </c>
      <c r="G347" t="inlineStr">
        <is>
          <t>required</t>
        </is>
      </c>
      <c r="H347" t="inlineStr">
        <is>
          <t>true</t>
        </is>
      </c>
      <c r="I347" t="inlineStr">
        <is>
          <t>434</t>
        </is>
      </c>
      <c r="J347" t="inlineStr">
        <is>
          <t>HL7 ValueSet expand (2026-06-09)</t>
        </is>
      </c>
      <c r="K347" t="inlineStr">
        <is>
          <t>false</t>
        </is>
      </c>
    </row>
    <row r="348">
      <c r="A348" t="inlineStr">
        <is>
          <t>Patient.race</t>
        </is>
      </c>
      <c r="B348" t="inlineStr">
        <is>
          <t>urn:oid:2.16.840.1.113883.6.238</t>
        </is>
      </c>
      <c r="C348" t="inlineStr">
        <is>
          <t>1443-1</t>
        </is>
      </c>
      <c r="D348" t="inlineStr">
        <is>
          <t>Pleasant Point Passamaquoddy</t>
        </is>
      </c>
      <c r="E348" t="inlineStr">
        <is>
          <t>detailed</t>
        </is>
      </c>
      <c r="F348" t="inlineStr">
        <is>
          <t>primary</t>
        </is>
      </c>
      <c r="G348" t="inlineStr">
        <is>
          <t>required</t>
        </is>
      </c>
      <c r="H348" t="inlineStr">
        <is>
          <t>true</t>
        </is>
      </c>
      <c r="I348" t="inlineStr">
        <is>
          <t>435</t>
        </is>
      </c>
      <c r="J348" t="inlineStr">
        <is>
          <t>HL7 ValueSet expand (2026-06-09)</t>
        </is>
      </c>
      <c r="K348" t="inlineStr">
        <is>
          <t>false</t>
        </is>
      </c>
    </row>
    <row r="349">
      <c r="A349" t="inlineStr">
        <is>
          <t>Patient.race</t>
        </is>
      </c>
      <c r="B349" t="inlineStr">
        <is>
          <t>urn:oid:2.16.840.1.113883.6.238</t>
        </is>
      </c>
      <c r="C349" t="inlineStr">
        <is>
          <t>1445-6</t>
        </is>
      </c>
      <c r="D349" t="inlineStr">
        <is>
          <t>Pawnee</t>
        </is>
      </c>
      <c r="E349" t="inlineStr">
        <is>
          <t>detailed</t>
        </is>
      </c>
      <c r="F349" t="inlineStr">
        <is>
          <t>primary</t>
        </is>
      </c>
      <c r="G349" t="inlineStr">
        <is>
          <t>required</t>
        </is>
      </c>
      <c r="H349" t="inlineStr">
        <is>
          <t>true</t>
        </is>
      </c>
      <c r="I349" t="inlineStr">
        <is>
          <t>436</t>
        </is>
      </c>
      <c r="J349" t="inlineStr">
        <is>
          <t>HL7 ValueSet expand (2026-06-09)</t>
        </is>
      </c>
      <c r="K349" t="inlineStr">
        <is>
          <t>false</t>
        </is>
      </c>
    </row>
    <row r="350">
      <c r="A350" t="inlineStr">
        <is>
          <t>Patient.race</t>
        </is>
      </c>
      <c r="B350" t="inlineStr">
        <is>
          <t>urn:oid:2.16.840.1.113883.6.238</t>
        </is>
      </c>
      <c r="C350" t="inlineStr">
        <is>
          <t>1446-4</t>
        </is>
      </c>
      <c r="D350" t="inlineStr">
        <is>
          <t>Oklahoma Pawnee</t>
        </is>
      </c>
      <c r="E350" t="inlineStr">
        <is>
          <t>detailed</t>
        </is>
      </c>
      <c r="F350" t="inlineStr">
        <is>
          <t>primary</t>
        </is>
      </c>
      <c r="G350" t="inlineStr">
        <is>
          <t>required</t>
        </is>
      </c>
      <c r="H350" t="inlineStr">
        <is>
          <t>true</t>
        </is>
      </c>
      <c r="I350" t="inlineStr">
        <is>
          <t>437</t>
        </is>
      </c>
      <c r="J350" t="inlineStr">
        <is>
          <t>HL7 ValueSet expand (2026-06-09)</t>
        </is>
      </c>
      <c r="K350" t="inlineStr">
        <is>
          <t>false</t>
        </is>
      </c>
    </row>
    <row r="351">
      <c r="A351" t="inlineStr">
        <is>
          <t>Patient.race</t>
        </is>
      </c>
      <c r="B351" t="inlineStr">
        <is>
          <t>urn:oid:2.16.840.1.113883.6.238</t>
        </is>
      </c>
      <c r="C351" t="inlineStr">
        <is>
          <t>1448-0</t>
        </is>
      </c>
      <c r="D351" t="inlineStr">
        <is>
          <t>Penobscot</t>
        </is>
      </c>
      <c r="E351" t="inlineStr">
        <is>
          <t>detailed</t>
        </is>
      </c>
      <c r="F351" t="inlineStr">
        <is>
          <t>primary</t>
        </is>
      </c>
      <c r="G351" t="inlineStr">
        <is>
          <t>required</t>
        </is>
      </c>
      <c r="H351" t="inlineStr">
        <is>
          <t>true</t>
        </is>
      </c>
      <c r="I351" t="inlineStr">
        <is>
          <t>438</t>
        </is>
      </c>
      <c r="J351" t="inlineStr">
        <is>
          <t>HL7 ValueSet expand (2026-06-09)</t>
        </is>
      </c>
      <c r="K351" t="inlineStr">
        <is>
          <t>false</t>
        </is>
      </c>
    </row>
    <row r="352">
      <c r="A352" t="inlineStr">
        <is>
          <t>Patient.race</t>
        </is>
      </c>
      <c r="B352" t="inlineStr">
        <is>
          <t>urn:oid:2.16.840.1.113883.6.238</t>
        </is>
      </c>
      <c r="C352" t="inlineStr">
        <is>
          <t>1450-6</t>
        </is>
      </c>
      <c r="D352" t="inlineStr">
        <is>
          <t>Peoria</t>
        </is>
      </c>
      <c r="E352" t="inlineStr">
        <is>
          <t>detailed</t>
        </is>
      </c>
      <c r="F352" t="inlineStr">
        <is>
          <t>primary</t>
        </is>
      </c>
      <c r="G352" t="inlineStr">
        <is>
          <t>required</t>
        </is>
      </c>
      <c r="H352" t="inlineStr">
        <is>
          <t>true</t>
        </is>
      </c>
      <c r="I352" t="inlineStr">
        <is>
          <t>439</t>
        </is>
      </c>
      <c r="J352" t="inlineStr">
        <is>
          <t>HL7 ValueSet expand (2026-06-09)</t>
        </is>
      </c>
      <c r="K352" t="inlineStr">
        <is>
          <t>false</t>
        </is>
      </c>
    </row>
    <row r="353">
      <c r="A353" t="inlineStr">
        <is>
          <t>Patient.race</t>
        </is>
      </c>
      <c r="B353" t="inlineStr">
        <is>
          <t>urn:oid:2.16.840.1.113883.6.238</t>
        </is>
      </c>
      <c r="C353" t="inlineStr">
        <is>
          <t>1451-4</t>
        </is>
      </c>
      <c r="D353" t="inlineStr">
        <is>
          <t>Oklahoma Peoria</t>
        </is>
      </c>
      <c r="E353" t="inlineStr">
        <is>
          <t>detailed</t>
        </is>
      </c>
      <c r="F353" t="inlineStr">
        <is>
          <t>primary</t>
        </is>
      </c>
      <c r="G353" t="inlineStr">
        <is>
          <t>required</t>
        </is>
      </c>
      <c r="H353" t="inlineStr">
        <is>
          <t>true</t>
        </is>
      </c>
      <c r="I353" t="inlineStr">
        <is>
          <t>440</t>
        </is>
      </c>
      <c r="J353" t="inlineStr">
        <is>
          <t>HL7 ValueSet expand (2026-06-09)</t>
        </is>
      </c>
      <c r="K353" t="inlineStr">
        <is>
          <t>false</t>
        </is>
      </c>
    </row>
    <row r="354">
      <c r="A354" t="inlineStr">
        <is>
          <t>Patient.race</t>
        </is>
      </c>
      <c r="B354" t="inlineStr">
        <is>
          <t>urn:oid:2.16.840.1.113883.6.238</t>
        </is>
      </c>
      <c r="C354" t="inlineStr">
        <is>
          <t>1453-0</t>
        </is>
      </c>
      <c r="D354" t="inlineStr">
        <is>
          <t>Pequot</t>
        </is>
      </c>
      <c r="E354" t="inlineStr">
        <is>
          <t>detailed</t>
        </is>
      </c>
      <c r="F354" t="inlineStr">
        <is>
          <t>primary</t>
        </is>
      </c>
      <c r="G354" t="inlineStr">
        <is>
          <t>required</t>
        </is>
      </c>
      <c r="H354" t="inlineStr">
        <is>
          <t>true</t>
        </is>
      </c>
      <c r="I354" t="inlineStr">
        <is>
          <t>441</t>
        </is>
      </c>
      <c r="J354" t="inlineStr">
        <is>
          <t>HL7 ValueSet expand (2026-06-09)</t>
        </is>
      </c>
      <c r="K354" t="inlineStr">
        <is>
          <t>false</t>
        </is>
      </c>
    </row>
    <row r="355">
      <c r="A355" t="inlineStr">
        <is>
          <t>Patient.race</t>
        </is>
      </c>
      <c r="B355" t="inlineStr">
        <is>
          <t>urn:oid:2.16.840.1.113883.6.238</t>
        </is>
      </c>
      <c r="C355" t="inlineStr">
        <is>
          <t>1454-8</t>
        </is>
      </c>
      <c r="D355" t="inlineStr">
        <is>
          <t>Marshantucket Pequot</t>
        </is>
      </c>
      <c r="E355" t="inlineStr">
        <is>
          <t>detailed</t>
        </is>
      </c>
      <c r="F355" t="inlineStr">
        <is>
          <t>primary</t>
        </is>
      </c>
      <c r="G355" t="inlineStr">
        <is>
          <t>required</t>
        </is>
      </c>
      <c r="H355" t="inlineStr">
        <is>
          <t>true</t>
        </is>
      </c>
      <c r="I355" t="inlineStr">
        <is>
          <t>442</t>
        </is>
      </c>
      <c r="J355" t="inlineStr">
        <is>
          <t>HL7 ValueSet expand (2026-06-09)</t>
        </is>
      </c>
      <c r="K355" t="inlineStr">
        <is>
          <t>false</t>
        </is>
      </c>
    </row>
    <row r="356">
      <c r="A356" t="inlineStr">
        <is>
          <t>Patient.race</t>
        </is>
      </c>
      <c r="B356" t="inlineStr">
        <is>
          <t>urn:oid:2.16.840.1.113883.6.238</t>
        </is>
      </c>
      <c r="C356" t="inlineStr">
        <is>
          <t>1456-3</t>
        </is>
      </c>
      <c r="D356" t="inlineStr">
        <is>
          <t>Pima</t>
        </is>
      </c>
      <c r="E356" t="inlineStr">
        <is>
          <t>detailed</t>
        </is>
      </c>
      <c r="F356" t="inlineStr">
        <is>
          <t>primary</t>
        </is>
      </c>
      <c r="G356" t="inlineStr">
        <is>
          <t>required</t>
        </is>
      </c>
      <c r="H356" t="inlineStr">
        <is>
          <t>true</t>
        </is>
      </c>
      <c r="I356" t="inlineStr">
        <is>
          <t>443</t>
        </is>
      </c>
      <c r="J356" t="inlineStr">
        <is>
          <t>HL7 ValueSet expand (2026-06-09)</t>
        </is>
      </c>
      <c r="K356" t="inlineStr">
        <is>
          <t>false</t>
        </is>
      </c>
    </row>
    <row r="357">
      <c r="A357" t="inlineStr">
        <is>
          <t>Patient.race</t>
        </is>
      </c>
      <c r="B357" t="inlineStr">
        <is>
          <t>urn:oid:2.16.840.1.113883.6.238</t>
        </is>
      </c>
      <c r="C357" t="inlineStr">
        <is>
          <t>1457-1</t>
        </is>
      </c>
      <c r="D357" t="inlineStr">
        <is>
          <t>Gila River Pima-Maricopa</t>
        </is>
      </c>
      <c r="E357" t="inlineStr">
        <is>
          <t>detailed</t>
        </is>
      </c>
      <c r="F357" t="inlineStr">
        <is>
          <t>primary</t>
        </is>
      </c>
      <c r="G357" t="inlineStr">
        <is>
          <t>required</t>
        </is>
      </c>
      <c r="H357" t="inlineStr">
        <is>
          <t>true</t>
        </is>
      </c>
      <c r="I357" t="inlineStr">
        <is>
          <t>444</t>
        </is>
      </c>
      <c r="J357" t="inlineStr">
        <is>
          <t>HL7 ValueSet expand (2026-06-09)</t>
        </is>
      </c>
      <c r="K357" t="inlineStr">
        <is>
          <t>false</t>
        </is>
      </c>
    </row>
    <row r="358">
      <c r="A358" t="inlineStr">
        <is>
          <t>Patient.race</t>
        </is>
      </c>
      <c r="B358" t="inlineStr">
        <is>
          <t>urn:oid:2.16.840.1.113883.6.238</t>
        </is>
      </c>
      <c r="C358" t="inlineStr">
        <is>
          <t>1458-9</t>
        </is>
      </c>
      <c r="D358" t="inlineStr">
        <is>
          <t>Salt River Pima-Maricopa</t>
        </is>
      </c>
      <c r="E358" t="inlineStr">
        <is>
          <t>detailed</t>
        </is>
      </c>
      <c r="F358" t="inlineStr">
        <is>
          <t>primary</t>
        </is>
      </c>
      <c r="G358" t="inlineStr">
        <is>
          <t>required</t>
        </is>
      </c>
      <c r="H358" t="inlineStr">
        <is>
          <t>true</t>
        </is>
      </c>
      <c r="I358" t="inlineStr">
        <is>
          <t>445</t>
        </is>
      </c>
      <c r="J358" t="inlineStr">
        <is>
          <t>HL7 ValueSet expand (2026-06-09)</t>
        </is>
      </c>
      <c r="K358" t="inlineStr">
        <is>
          <t>false</t>
        </is>
      </c>
    </row>
    <row r="359">
      <c r="A359" t="inlineStr">
        <is>
          <t>Patient.race</t>
        </is>
      </c>
      <c r="B359" t="inlineStr">
        <is>
          <t>urn:oid:2.16.840.1.113883.6.238</t>
        </is>
      </c>
      <c r="C359" t="inlineStr">
        <is>
          <t>1460-5</t>
        </is>
      </c>
      <c r="D359" t="inlineStr">
        <is>
          <t>Piscataway</t>
        </is>
      </c>
      <c r="E359" t="inlineStr">
        <is>
          <t>detailed</t>
        </is>
      </c>
      <c r="F359" t="inlineStr">
        <is>
          <t>primary</t>
        </is>
      </c>
      <c r="G359" t="inlineStr">
        <is>
          <t>required</t>
        </is>
      </c>
      <c r="H359" t="inlineStr">
        <is>
          <t>true</t>
        </is>
      </c>
      <c r="I359" t="inlineStr">
        <is>
          <t>446</t>
        </is>
      </c>
      <c r="J359" t="inlineStr">
        <is>
          <t>HL7 ValueSet expand (2026-06-09)</t>
        </is>
      </c>
      <c r="K359" t="inlineStr">
        <is>
          <t>false</t>
        </is>
      </c>
    </row>
    <row r="360">
      <c r="A360" t="inlineStr">
        <is>
          <t>Patient.race</t>
        </is>
      </c>
      <c r="B360" t="inlineStr">
        <is>
          <t>urn:oid:2.16.840.1.113883.6.238</t>
        </is>
      </c>
      <c r="C360" t="inlineStr">
        <is>
          <t>1462-1</t>
        </is>
      </c>
      <c r="D360" t="inlineStr">
        <is>
          <t>Pit River</t>
        </is>
      </c>
      <c r="E360" t="inlineStr">
        <is>
          <t>detailed</t>
        </is>
      </c>
      <c r="F360" t="inlineStr">
        <is>
          <t>primary</t>
        </is>
      </c>
      <c r="G360" t="inlineStr">
        <is>
          <t>required</t>
        </is>
      </c>
      <c r="H360" t="inlineStr">
        <is>
          <t>true</t>
        </is>
      </c>
      <c r="I360" t="inlineStr">
        <is>
          <t>447</t>
        </is>
      </c>
      <c r="J360" t="inlineStr">
        <is>
          <t>HL7 ValueSet expand (2026-06-09)</t>
        </is>
      </c>
      <c r="K360" t="inlineStr">
        <is>
          <t>false</t>
        </is>
      </c>
    </row>
    <row r="361">
      <c r="A361" t="inlineStr">
        <is>
          <t>Patient.race</t>
        </is>
      </c>
      <c r="B361" t="inlineStr">
        <is>
          <t>urn:oid:2.16.840.1.113883.6.238</t>
        </is>
      </c>
      <c r="C361" t="inlineStr">
        <is>
          <t>1464-7</t>
        </is>
      </c>
      <c r="D361" t="inlineStr">
        <is>
          <t>Pomo</t>
        </is>
      </c>
      <c r="E361" t="inlineStr">
        <is>
          <t>detailed</t>
        </is>
      </c>
      <c r="F361" t="inlineStr">
        <is>
          <t>primary</t>
        </is>
      </c>
      <c r="G361" t="inlineStr">
        <is>
          <t>required</t>
        </is>
      </c>
      <c r="H361" t="inlineStr">
        <is>
          <t>true</t>
        </is>
      </c>
      <c r="I361" t="inlineStr">
        <is>
          <t>448</t>
        </is>
      </c>
      <c r="J361" t="inlineStr">
        <is>
          <t>HL7 ValueSet expand (2026-06-09)</t>
        </is>
      </c>
      <c r="K361" t="inlineStr">
        <is>
          <t>false</t>
        </is>
      </c>
    </row>
    <row r="362">
      <c r="A362" t="inlineStr">
        <is>
          <t>Patient.race</t>
        </is>
      </c>
      <c r="B362" t="inlineStr">
        <is>
          <t>urn:oid:2.16.840.1.113883.6.238</t>
        </is>
      </c>
      <c r="C362" t="inlineStr">
        <is>
          <t>1465-4</t>
        </is>
      </c>
      <c r="D362" t="inlineStr">
        <is>
          <t>Central Pomo</t>
        </is>
      </c>
      <c r="E362" t="inlineStr">
        <is>
          <t>detailed</t>
        </is>
      </c>
      <c r="F362" t="inlineStr">
        <is>
          <t>primary</t>
        </is>
      </c>
      <c r="G362" t="inlineStr">
        <is>
          <t>required</t>
        </is>
      </c>
      <c r="H362" t="inlineStr">
        <is>
          <t>true</t>
        </is>
      </c>
      <c r="I362" t="inlineStr">
        <is>
          <t>449</t>
        </is>
      </c>
      <c r="J362" t="inlineStr">
        <is>
          <t>HL7 ValueSet expand (2026-06-09)</t>
        </is>
      </c>
      <c r="K362" t="inlineStr">
        <is>
          <t>false</t>
        </is>
      </c>
    </row>
    <row r="363">
      <c r="A363" t="inlineStr">
        <is>
          <t>Patient.race</t>
        </is>
      </c>
      <c r="B363" t="inlineStr">
        <is>
          <t>urn:oid:2.16.840.1.113883.6.238</t>
        </is>
      </c>
      <c r="C363" t="inlineStr">
        <is>
          <t>1466-2</t>
        </is>
      </c>
      <c r="D363" t="inlineStr">
        <is>
          <t>Dry Creek</t>
        </is>
      </c>
      <c r="E363" t="inlineStr">
        <is>
          <t>detailed</t>
        </is>
      </c>
      <c r="F363" t="inlineStr">
        <is>
          <t>primary</t>
        </is>
      </c>
      <c r="G363" t="inlineStr">
        <is>
          <t>required</t>
        </is>
      </c>
      <c r="H363" t="inlineStr">
        <is>
          <t>true</t>
        </is>
      </c>
      <c r="I363" t="inlineStr">
        <is>
          <t>450</t>
        </is>
      </c>
      <c r="J363" t="inlineStr">
        <is>
          <t>HL7 ValueSet expand (2026-06-09)</t>
        </is>
      </c>
      <c r="K363" t="inlineStr">
        <is>
          <t>false</t>
        </is>
      </c>
    </row>
    <row r="364">
      <c r="A364" t="inlineStr">
        <is>
          <t>Patient.race</t>
        </is>
      </c>
      <c r="B364" t="inlineStr">
        <is>
          <t>urn:oid:2.16.840.1.113883.6.238</t>
        </is>
      </c>
      <c r="C364" t="inlineStr">
        <is>
          <t>1467-0</t>
        </is>
      </c>
      <c r="D364" t="inlineStr">
        <is>
          <t>Eastern Pomo</t>
        </is>
      </c>
      <c r="E364" t="inlineStr">
        <is>
          <t>detailed</t>
        </is>
      </c>
      <c r="F364" t="inlineStr">
        <is>
          <t>primary</t>
        </is>
      </c>
      <c r="G364" t="inlineStr">
        <is>
          <t>required</t>
        </is>
      </c>
      <c r="H364" t="inlineStr">
        <is>
          <t>true</t>
        </is>
      </c>
      <c r="I364" t="inlineStr">
        <is>
          <t>451</t>
        </is>
      </c>
      <c r="J364" t="inlineStr">
        <is>
          <t>HL7 ValueSet expand (2026-06-09)</t>
        </is>
      </c>
      <c r="K364" t="inlineStr">
        <is>
          <t>false</t>
        </is>
      </c>
    </row>
    <row r="365">
      <c r="A365" t="inlineStr">
        <is>
          <t>Patient.race</t>
        </is>
      </c>
      <c r="B365" t="inlineStr">
        <is>
          <t>urn:oid:2.16.840.1.113883.6.238</t>
        </is>
      </c>
      <c r="C365" t="inlineStr">
        <is>
          <t>1468-8</t>
        </is>
      </c>
      <c r="D365" t="inlineStr">
        <is>
          <t>Kashia</t>
        </is>
      </c>
      <c r="E365" t="inlineStr">
        <is>
          <t>detailed</t>
        </is>
      </c>
      <c r="F365" t="inlineStr">
        <is>
          <t>primary</t>
        </is>
      </c>
      <c r="G365" t="inlineStr">
        <is>
          <t>required</t>
        </is>
      </c>
      <c r="H365" t="inlineStr">
        <is>
          <t>true</t>
        </is>
      </c>
      <c r="I365" t="inlineStr">
        <is>
          <t>452</t>
        </is>
      </c>
      <c r="J365" t="inlineStr">
        <is>
          <t>HL7 ValueSet expand (2026-06-09)</t>
        </is>
      </c>
      <c r="K365" t="inlineStr">
        <is>
          <t>false</t>
        </is>
      </c>
    </row>
    <row r="366">
      <c r="A366" t="inlineStr">
        <is>
          <t>Patient.race</t>
        </is>
      </c>
      <c r="B366" t="inlineStr">
        <is>
          <t>urn:oid:2.16.840.1.113883.6.238</t>
        </is>
      </c>
      <c r="C366" t="inlineStr">
        <is>
          <t>1469-6</t>
        </is>
      </c>
      <c r="D366" t="inlineStr">
        <is>
          <t>Northern Pomo</t>
        </is>
      </c>
      <c r="E366" t="inlineStr">
        <is>
          <t>detailed</t>
        </is>
      </c>
      <c r="F366" t="inlineStr">
        <is>
          <t>primary</t>
        </is>
      </c>
      <c r="G366" t="inlineStr">
        <is>
          <t>required</t>
        </is>
      </c>
      <c r="H366" t="inlineStr">
        <is>
          <t>true</t>
        </is>
      </c>
      <c r="I366" t="inlineStr">
        <is>
          <t>453</t>
        </is>
      </c>
      <c r="J366" t="inlineStr">
        <is>
          <t>HL7 ValueSet expand (2026-06-09)</t>
        </is>
      </c>
      <c r="K366" t="inlineStr">
        <is>
          <t>false</t>
        </is>
      </c>
    </row>
    <row r="367">
      <c r="A367" t="inlineStr">
        <is>
          <t>Patient.race</t>
        </is>
      </c>
      <c r="B367" t="inlineStr">
        <is>
          <t>urn:oid:2.16.840.1.113883.6.238</t>
        </is>
      </c>
      <c r="C367" t="inlineStr">
        <is>
          <t>1470-4</t>
        </is>
      </c>
      <c r="D367" t="inlineStr">
        <is>
          <t>Scotts Valley</t>
        </is>
      </c>
      <c r="E367" t="inlineStr">
        <is>
          <t>detailed</t>
        </is>
      </c>
      <c r="F367" t="inlineStr">
        <is>
          <t>primary</t>
        </is>
      </c>
      <c r="G367" t="inlineStr">
        <is>
          <t>required</t>
        </is>
      </c>
      <c r="H367" t="inlineStr">
        <is>
          <t>true</t>
        </is>
      </c>
      <c r="I367" t="inlineStr">
        <is>
          <t>454</t>
        </is>
      </c>
      <c r="J367" t="inlineStr">
        <is>
          <t>HL7 ValueSet expand (2026-06-09)</t>
        </is>
      </c>
      <c r="K367" t="inlineStr">
        <is>
          <t>false</t>
        </is>
      </c>
    </row>
    <row r="368">
      <c r="A368" t="inlineStr">
        <is>
          <t>Patient.race</t>
        </is>
      </c>
      <c r="B368" t="inlineStr">
        <is>
          <t>urn:oid:2.16.840.1.113883.6.238</t>
        </is>
      </c>
      <c r="C368" t="inlineStr">
        <is>
          <t>1471-2</t>
        </is>
      </c>
      <c r="D368" t="inlineStr">
        <is>
          <t>Stonyford</t>
        </is>
      </c>
      <c r="E368" t="inlineStr">
        <is>
          <t>detailed</t>
        </is>
      </c>
      <c r="F368" t="inlineStr">
        <is>
          <t>primary</t>
        </is>
      </c>
      <c r="G368" t="inlineStr">
        <is>
          <t>required</t>
        </is>
      </c>
      <c r="H368" t="inlineStr">
        <is>
          <t>true</t>
        </is>
      </c>
      <c r="I368" t="inlineStr">
        <is>
          <t>455</t>
        </is>
      </c>
      <c r="J368" t="inlineStr">
        <is>
          <t>HL7 ValueSet expand (2026-06-09)</t>
        </is>
      </c>
      <c r="K368" t="inlineStr">
        <is>
          <t>false</t>
        </is>
      </c>
    </row>
    <row r="369">
      <c r="A369" t="inlineStr">
        <is>
          <t>Patient.race</t>
        </is>
      </c>
      <c r="B369" t="inlineStr">
        <is>
          <t>urn:oid:2.16.840.1.113883.6.238</t>
        </is>
      </c>
      <c r="C369" t="inlineStr">
        <is>
          <t>1472-0</t>
        </is>
      </c>
      <c r="D369" t="inlineStr">
        <is>
          <t>Sulphur Bank</t>
        </is>
      </c>
      <c r="E369" t="inlineStr">
        <is>
          <t>detailed</t>
        </is>
      </c>
      <c r="F369" t="inlineStr">
        <is>
          <t>primary</t>
        </is>
      </c>
      <c r="G369" t="inlineStr">
        <is>
          <t>required</t>
        </is>
      </c>
      <c r="H369" t="inlineStr">
        <is>
          <t>true</t>
        </is>
      </c>
      <c r="I369" t="inlineStr">
        <is>
          <t>456</t>
        </is>
      </c>
      <c r="J369" t="inlineStr">
        <is>
          <t>HL7 ValueSet expand (2026-06-09)</t>
        </is>
      </c>
      <c r="K369" t="inlineStr">
        <is>
          <t>false</t>
        </is>
      </c>
    </row>
    <row r="370">
      <c r="A370" t="inlineStr">
        <is>
          <t>Patient.race</t>
        </is>
      </c>
      <c r="B370" t="inlineStr">
        <is>
          <t>urn:oid:2.16.840.1.113883.6.238</t>
        </is>
      </c>
      <c r="C370" t="inlineStr">
        <is>
          <t>1474-6</t>
        </is>
      </c>
      <c r="D370" t="inlineStr">
        <is>
          <t>Ponca</t>
        </is>
      </c>
      <c r="E370" t="inlineStr">
        <is>
          <t>detailed</t>
        </is>
      </c>
      <c r="F370" t="inlineStr">
        <is>
          <t>primary</t>
        </is>
      </c>
      <c r="G370" t="inlineStr">
        <is>
          <t>required</t>
        </is>
      </c>
      <c r="H370" t="inlineStr">
        <is>
          <t>true</t>
        </is>
      </c>
      <c r="I370" t="inlineStr">
        <is>
          <t>457</t>
        </is>
      </c>
      <c r="J370" t="inlineStr">
        <is>
          <t>HL7 ValueSet expand (2026-06-09)</t>
        </is>
      </c>
      <c r="K370" t="inlineStr">
        <is>
          <t>false</t>
        </is>
      </c>
    </row>
    <row r="371">
      <c r="A371" t="inlineStr">
        <is>
          <t>Patient.race</t>
        </is>
      </c>
      <c r="B371" t="inlineStr">
        <is>
          <t>urn:oid:2.16.840.1.113883.6.238</t>
        </is>
      </c>
      <c r="C371" t="inlineStr">
        <is>
          <t>1475-3</t>
        </is>
      </c>
      <c r="D371" t="inlineStr">
        <is>
          <t>Nebraska Ponca</t>
        </is>
      </c>
      <c r="E371" t="inlineStr">
        <is>
          <t>detailed</t>
        </is>
      </c>
      <c r="F371" t="inlineStr">
        <is>
          <t>primary</t>
        </is>
      </c>
      <c r="G371" t="inlineStr">
        <is>
          <t>required</t>
        </is>
      </c>
      <c r="H371" t="inlineStr">
        <is>
          <t>true</t>
        </is>
      </c>
      <c r="I371" t="inlineStr">
        <is>
          <t>458</t>
        </is>
      </c>
      <c r="J371" t="inlineStr">
        <is>
          <t>HL7 ValueSet expand (2026-06-09)</t>
        </is>
      </c>
      <c r="K371" t="inlineStr">
        <is>
          <t>false</t>
        </is>
      </c>
    </row>
    <row r="372">
      <c r="A372" t="inlineStr">
        <is>
          <t>Patient.race</t>
        </is>
      </c>
      <c r="B372" t="inlineStr">
        <is>
          <t>urn:oid:2.16.840.1.113883.6.238</t>
        </is>
      </c>
      <c r="C372" t="inlineStr">
        <is>
          <t>1476-1</t>
        </is>
      </c>
      <c r="D372" t="inlineStr">
        <is>
          <t>Oklahoma Ponca</t>
        </is>
      </c>
      <c r="E372" t="inlineStr">
        <is>
          <t>detailed</t>
        </is>
      </c>
      <c r="F372" t="inlineStr">
        <is>
          <t>primary</t>
        </is>
      </c>
      <c r="G372" t="inlineStr">
        <is>
          <t>required</t>
        </is>
      </c>
      <c r="H372" t="inlineStr">
        <is>
          <t>true</t>
        </is>
      </c>
      <c r="I372" t="inlineStr">
        <is>
          <t>459</t>
        </is>
      </c>
      <c r="J372" t="inlineStr">
        <is>
          <t>HL7 ValueSet expand (2026-06-09)</t>
        </is>
      </c>
      <c r="K372" t="inlineStr">
        <is>
          <t>false</t>
        </is>
      </c>
    </row>
    <row r="373">
      <c r="A373" t="inlineStr">
        <is>
          <t>Patient.race</t>
        </is>
      </c>
      <c r="B373" t="inlineStr">
        <is>
          <t>urn:oid:2.16.840.1.113883.6.238</t>
        </is>
      </c>
      <c r="C373" t="inlineStr">
        <is>
          <t>1478-7</t>
        </is>
      </c>
      <c r="D373" t="inlineStr">
        <is>
          <t>Potawatomi</t>
        </is>
      </c>
      <c r="E373" t="inlineStr">
        <is>
          <t>detailed</t>
        </is>
      </c>
      <c r="F373" t="inlineStr">
        <is>
          <t>primary</t>
        </is>
      </c>
      <c r="G373" t="inlineStr">
        <is>
          <t>required</t>
        </is>
      </c>
      <c r="H373" t="inlineStr">
        <is>
          <t>true</t>
        </is>
      </c>
      <c r="I373" t="inlineStr">
        <is>
          <t>460</t>
        </is>
      </c>
      <c r="J373" t="inlineStr">
        <is>
          <t>HL7 ValueSet expand (2026-06-09)</t>
        </is>
      </c>
      <c r="K373" t="inlineStr">
        <is>
          <t>false</t>
        </is>
      </c>
    </row>
    <row r="374">
      <c r="A374" t="inlineStr">
        <is>
          <t>Patient.race</t>
        </is>
      </c>
      <c r="B374" t="inlineStr">
        <is>
          <t>urn:oid:2.16.840.1.113883.6.238</t>
        </is>
      </c>
      <c r="C374" t="inlineStr">
        <is>
          <t>1479-5</t>
        </is>
      </c>
      <c r="D374" t="inlineStr">
        <is>
          <t>Citizen Band Potawatomi</t>
        </is>
      </c>
      <c r="E374" t="inlineStr">
        <is>
          <t>detailed</t>
        </is>
      </c>
      <c r="F374" t="inlineStr">
        <is>
          <t>primary</t>
        </is>
      </c>
      <c r="G374" t="inlineStr">
        <is>
          <t>required</t>
        </is>
      </c>
      <c r="H374" t="inlineStr">
        <is>
          <t>true</t>
        </is>
      </c>
      <c r="I374" t="inlineStr">
        <is>
          <t>461</t>
        </is>
      </c>
      <c r="J374" t="inlineStr">
        <is>
          <t>HL7 ValueSet expand (2026-06-09)</t>
        </is>
      </c>
      <c r="K374" t="inlineStr">
        <is>
          <t>false</t>
        </is>
      </c>
    </row>
    <row r="375">
      <c r="A375" t="inlineStr">
        <is>
          <t>Patient.race</t>
        </is>
      </c>
      <c r="B375" t="inlineStr">
        <is>
          <t>urn:oid:2.16.840.1.113883.6.238</t>
        </is>
      </c>
      <c r="C375" t="inlineStr">
        <is>
          <t>1480-3</t>
        </is>
      </c>
      <c r="D375" t="inlineStr">
        <is>
          <t>Forest County</t>
        </is>
      </c>
      <c r="E375" t="inlineStr">
        <is>
          <t>detailed</t>
        </is>
      </c>
      <c r="F375" t="inlineStr">
        <is>
          <t>primary</t>
        </is>
      </c>
      <c r="G375" t="inlineStr">
        <is>
          <t>required</t>
        </is>
      </c>
      <c r="H375" t="inlineStr">
        <is>
          <t>true</t>
        </is>
      </c>
      <c r="I375" t="inlineStr">
        <is>
          <t>462</t>
        </is>
      </c>
      <c r="J375" t="inlineStr">
        <is>
          <t>HL7 ValueSet expand (2026-06-09)</t>
        </is>
      </c>
      <c r="K375" t="inlineStr">
        <is>
          <t>false</t>
        </is>
      </c>
    </row>
    <row r="376">
      <c r="A376" t="inlineStr">
        <is>
          <t>Patient.race</t>
        </is>
      </c>
      <c r="B376" t="inlineStr">
        <is>
          <t>urn:oid:2.16.840.1.113883.6.238</t>
        </is>
      </c>
      <c r="C376" t="inlineStr">
        <is>
          <t>1481-1</t>
        </is>
      </c>
      <c r="D376" t="inlineStr">
        <is>
          <t>Hannahville</t>
        </is>
      </c>
      <c r="E376" t="inlineStr">
        <is>
          <t>detailed</t>
        </is>
      </c>
      <c r="F376" t="inlineStr">
        <is>
          <t>primary</t>
        </is>
      </c>
      <c r="G376" t="inlineStr">
        <is>
          <t>required</t>
        </is>
      </c>
      <c r="H376" t="inlineStr">
        <is>
          <t>true</t>
        </is>
      </c>
      <c r="I376" t="inlineStr">
        <is>
          <t>463</t>
        </is>
      </c>
      <c r="J376" t="inlineStr">
        <is>
          <t>HL7 ValueSet expand (2026-06-09)</t>
        </is>
      </c>
      <c r="K376" t="inlineStr">
        <is>
          <t>false</t>
        </is>
      </c>
    </row>
    <row r="377">
      <c r="A377" t="inlineStr">
        <is>
          <t>Patient.race</t>
        </is>
      </c>
      <c r="B377" t="inlineStr">
        <is>
          <t>urn:oid:2.16.840.1.113883.6.238</t>
        </is>
      </c>
      <c r="C377" t="inlineStr">
        <is>
          <t>1482-9</t>
        </is>
      </c>
      <c r="D377" t="inlineStr">
        <is>
          <t>Huron Potawatomi</t>
        </is>
      </c>
      <c r="E377" t="inlineStr">
        <is>
          <t>detailed</t>
        </is>
      </c>
      <c r="F377" t="inlineStr">
        <is>
          <t>primary</t>
        </is>
      </c>
      <c r="G377" t="inlineStr">
        <is>
          <t>required</t>
        </is>
      </c>
      <c r="H377" t="inlineStr">
        <is>
          <t>true</t>
        </is>
      </c>
      <c r="I377" t="inlineStr">
        <is>
          <t>464</t>
        </is>
      </c>
      <c r="J377" t="inlineStr">
        <is>
          <t>HL7 ValueSet expand (2026-06-09)</t>
        </is>
      </c>
      <c r="K377" t="inlineStr">
        <is>
          <t>false</t>
        </is>
      </c>
    </row>
    <row r="378">
      <c r="A378" t="inlineStr">
        <is>
          <t>Patient.race</t>
        </is>
      </c>
      <c r="B378" t="inlineStr">
        <is>
          <t>urn:oid:2.16.840.1.113883.6.238</t>
        </is>
      </c>
      <c r="C378" t="inlineStr">
        <is>
          <t>1483-7</t>
        </is>
      </c>
      <c r="D378" t="inlineStr">
        <is>
          <t>Pokagon Potawatomi</t>
        </is>
      </c>
      <c r="E378" t="inlineStr">
        <is>
          <t>detailed</t>
        </is>
      </c>
      <c r="F378" t="inlineStr">
        <is>
          <t>primary</t>
        </is>
      </c>
      <c r="G378" t="inlineStr">
        <is>
          <t>required</t>
        </is>
      </c>
      <c r="H378" t="inlineStr">
        <is>
          <t>true</t>
        </is>
      </c>
      <c r="I378" t="inlineStr">
        <is>
          <t>465</t>
        </is>
      </c>
      <c r="J378" t="inlineStr">
        <is>
          <t>HL7 ValueSet expand (2026-06-09)</t>
        </is>
      </c>
      <c r="K378" t="inlineStr">
        <is>
          <t>false</t>
        </is>
      </c>
    </row>
    <row r="379">
      <c r="A379" t="inlineStr">
        <is>
          <t>Patient.race</t>
        </is>
      </c>
      <c r="B379" t="inlineStr">
        <is>
          <t>urn:oid:2.16.840.1.113883.6.238</t>
        </is>
      </c>
      <c r="C379" t="inlineStr">
        <is>
          <t>1484-5</t>
        </is>
      </c>
      <c r="D379" t="inlineStr">
        <is>
          <t>Prairie Band</t>
        </is>
      </c>
      <c r="E379" t="inlineStr">
        <is>
          <t>detailed</t>
        </is>
      </c>
      <c r="F379" t="inlineStr">
        <is>
          <t>primary</t>
        </is>
      </c>
      <c r="G379" t="inlineStr">
        <is>
          <t>required</t>
        </is>
      </c>
      <c r="H379" t="inlineStr">
        <is>
          <t>true</t>
        </is>
      </c>
      <c r="I379" t="inlineStr">
        <is>
          <t>466</t>
        </is>
      </c>
      <c r="J379" t="inlineStr">
        <is>
          <t>HL7 ValueSet expand (2026-06-09)</t>
        </is>
      </c>
      <c r="K379" t="inlineStr">
        <is>
          <t>false</t>
        </is>
      </c>
    </row>
    <row r="380">
      <c r="A380" t="inlineStr">
        <is>
          <t>Patient.race</t>
        </is>
      </c>
      <c r="B380" t="inlineStr">
        <is>
          <t>urn:oid:2.16.840.1.113883.6.238</t>
        </is>
      </c>
      <c r="C380" t="inlineStr">
        <is>
          <t>1485-2</t>
        </is>
      </c>
      <c r="D380" t="inlineStr">
        <is>
          <t>Wisconsin Potawatomi</t>
        </is>
      </c>
      <c r="E380" t="inlineStr">
        <is>
          <t>detailed</t>
        </is>
      </c>
      <c r="F380" t="inlineStr">
        <is>
          <t>primary</t>
        </is>
      </c>
      <c r="G380" t="inlineStr">
        <is>
          <t>required</t>
        </is>
      </c>
      <c r="H380" t="inlineStr">
        <is>
          <t>true</t>
        </is>
      </c>
      <c r="I380" t="inlineStr">
        <is>
          <t>467</t>
        </is>
      </c>
      <c r="J380" t="inlineStr">
        <is>
          <t>HL7 ValueSet expand (2026-06-09)</t>
        </is>
      </c>
      <c r="K380" t="inlineStr">
        <is>
          <t>false</t>
        </is>
      </c>
    </row>
    <row r="381">
      <c r="A381" t="inlineStr">
        <is>
          <t>Patient.race</t>
        </is>
      </c>
      <c r="B381" t="inlineStr">
        <is>
          <t>urn:oid:2.16.840.1.113883.6.238</t>
        </is>
      </c>
      <c r="C381" t="inlineStr">
        <is>
          <t>1487-8</t>
        </is>
      </c>
      <c r="D381" t="inlineStr">
        <is>
          <t>Powhatan</t>
        </is>
      </c>
      <c r="E381" t="inlineStr">
        <is>
          <t>detailed</t>
        </is>
      </c>
      <c r="F381" t="inlineStr">
        <is>
          <t>primary</t>
        </is>
      </c>
      <c r="G381" t="inlineStr">
        <is>
          <t>required</t>
        </is>
      </c>
      <c r="H381" t="inlineStr">
        <is>
          <t>true</t>
        </is>
      </c>
      <c r="I381" t="inlineStr">
        <is>
          <t>468</t>
        </is>
      </c>
      <c r="J381" t="inlineStr">
        <is>
          <t>HL7 ValueSet expand (2026-06-09)</t>
        </is>
      </c>
      <c r="K381" t="inlineStr">
        <is>
          <t>false</t>
        </is>
      </c>
    </row>
    <row r="382">
      <c r="A382" t="inlineStr">
        <is>
          <t>Patient.race</t>
        </is>
      </c>
      <c r="B382" t="inlineStr">
        <is>
          <t>urn:oid:2.16.840.1.113883.6.238</t>
        </is>
      </c>
      <c r="C382" t="inlineStr">
        <is>
          <t>1489-4</t>
        </is>
      </c>
      <c r="D382" t="inlineStr">
        <is>
          <t>Pueblo</t>
        </is>
      </c>
      <c r="E382" t="inlineStr">
        <is>
          <t>detailed</t>
        </is>
      </c>
      <c r="F382" t="inlineStr">
        <is>
          <t>primary</t>
        </is>
      </c>
      <c r="G382" t="inlineStr">
        <is>
          <t>required</t>
        </is>
      </c>
      <c r="H382" t="inlineStr">
        <is>
          <t>true</t>
        </is>
      </c>
      <c r="I382" t="inlineStr">
        <is>
          <t>469</t>
        </is>
      </c>
      <c r="J382" t="inlineStr">
        <is>
          <t>HL7 ValueSet expand (2026-06-09)</t>
        </is>
      </c>
      <c r="K382" t="inlineStr">
        <is>
          <t>false</t>
        </is>
      </c>
    </row>
    <row r="383">
      <c r="A383" t="inlineStr">
        <is>
          <t>Patient.race</t>
        </is>
      </c>
      <c r="B383" t="inlineStr">
        <is>
          <t>urn:oid:2.16.840.1.113883.6.238</t>
        </is>
      </c>
      <c r="C383" t="inlineStr">
        <is>
          <t>1490-2</t>
        </is>
      </c>
      <c r="D383" t="inlineStr">
        <is>
          <t>Acoma</t>
        </is>
      </c>
      <c r="E383" t="inlineStr">
        <is>
          <t>detailed</t>
        </is>
      </c>
      <c r="F383" t="inlineStr">
        <is>
          <t>primary</t>
        </is>
      </c>
      <c r="G383" t="inlineStr">
        <is>
          <t>required</t>
        </is>
      </c>
      <c r="H383" t="inlineStr">
        <is>
          <t>true</t>
        </is>
      </c>
      <c r="I383" t="inlineStr">
        <is>
          <t>470</t>
        </is>
      </c>
      <c r="J383" t="inlineStr">
        <is>
          <t>HL7 ValueSet expand (2026-06-09)</t>
        </is>
      </c>
      <c r="K383" t="inlineStr">
        <is>
          <t>false</t>
        </is>
      </c>
    </row>
    <row r="384">
      <c r="A384" t="inlineStr">
        <is>
          <t>Patient.race</t>
        </is>
      </c>
      <c r="B384" t="inlineStr">
        <is>
          <t>urn:oid:2.16.840.1.113883.6.238</t>
        </is>
      </c>
      <c r="C384" t="inlineStr">
        <is>
          <t>1491-0</t>
        </is>
      </c>
      <c r="D384" t="inlineStr">
        <is>
          <t>Arizona Tewa</t>
        </is>
      </c>
      <c r="E384" t="inlineStr">
        <is>
          <t>detailed</t>
        </is>
      </c>
      <c r="F384" t="inlineStr">
        <is>
          <t>primary</t>
        </is>
      </c>
      <c r="G384" t="inlineStr">
        <is>
          <t>required</t>
        </is>
      </c>
      <c r="H384" t="inlineStr">
        <is>
          <t>true</t>
        </is>
      </c>
      <c r="I384" t="inlineStr">
        <is>
          <t>471</t>
        </is>
      </c>
      <c r="J384" t="inlineStr">
        <is>
          <t>HL7 ValueSet expand (2026-06-09)</t>
        </is>
      </c>
      <c r="K384" t="inlineStr">
        <is>
          <t>false</t>
        </is>
      </c>
    </row>
    <row r="385">
      <c r="A385" t="inlineStr">
        <is>
          <t>Patient.race</t>
        </is>
      </c>
      <c r="B385" t="inlineStr">
        <is>
          <t>urn:oid:2.16.840.1.113883.6.238</t>
        </is>
      </c>
      <c r="C385" t="inlineStr">
        <is>
          <t>1492-8</t>
        </is>
      </c>
      <c r="D385" t="inlineStr">
        <is>
          <t>Cochiti</t>
        </is>
      </c>
      <c r="E385" t="inlineStr">
        <is>
          <t>detailed</t>
        </is>
      </c>
      <c r="F385" t="inlineStr">
        <is>
          <t>primary</t>
        </is>
      </c>
      <c r="G385" t="inlineStr">
        <is>
          <t>required</t>
        </is>
      </c>
      <c r="H385" t="inlineStr">
        <is>
          <t>true</t>
        </is>
      </c>
      <c r="I385" t="inlineStr">
        <is>
          <t>472</t>
        </is>
      </c>
      <c r="J385" t="inlineStr">
        <is>
          <t>HL7 ValueSet expand (2026-06-09)</t>
        </is>
      </c>
      <c r="K385" t="inlineStr">
        <is>
          <t>false</t>
        </is>
      </c>
    </row>
    <row r="386">
      <c r="A386" t="inlineStr">
        <is>
          <t>Patient.race</t>
        </is>
      </c>
      <c r="B386" t="inlineStr">
        <is>
          <t>urn:oid:2.16.840.1.113883.6.238</t>
        </is>
      </c>
      <c r="C386" t="inlineStr">
        <is>
          <t>1493-6</t>
        </is>
      </c>
      <c r="D386" t="inlineStr">
        <is>
          <t>Hopi</t>
        </is>
      </c>
      <c r="E386" t="inlineStr">
        <is>
          <t>detailed</t>
        </is>
      </c>
      <c r="F386" t="inlineStr">
        <is>
          <t>primary</t>
        </is>
      </c>
      <c r="G386" t="inlineStr">
        <is>
          <t>required</t>
        </is>
      </c>
      <c r="H386" t="inlineStr">
        <is>
          <t>true</t>
        </is>
      </c>
      <c r="I386" t="inlineStr">
        <is>
          <t>473</t>
        </is>
      </c>
      <c r="J386" t="inlineStr">
        <is>
          <t>HL7 ValueSet expand (2026-06-09)</t>
        </is>
      </c>
      <c r="K386" t="inlineStr">
        <is>
          <t>false</t>
        </is>
      </c>
    </row>
    <row r="387">
      <c r="A387" t="inlineStr">
        <is>
          <t>Patient.race</t>
        </is>
      </c>
      <c r="B387" t="inlineStr">
        <is>
          <t>urn:oid:2.16.840.1.113883.6.238</t>
        </is>
      </c>
      <c r="C387" t="inlineStr">
        <is>
          <t>1494-4</t>
        </is>
      </c>
      <c r="D387" t="inlineStr">
        <is>
          <t>Isleta</t>
        </is>
      </c>
      <c r="E387" t="inlineStr">
        <is>
          <t>detailed</t>
        </is>
      </c>
      <c r="F387" t="inlineStr">
        <is>
          <t>primary</t>
        </is>
      </c>
      <c r="G387" t="inlineStr">
        <is>
          <t>required</t>
        </is>
      </c>
      <c r="H387" t="inlineStr">
        <is>
          <t>true</t>
        </is>
      </c>
      <c r="I387" t="inlineStr">
        <is>
          <t>474</t>
        </is>
      </c>
      <c r="J387" t="inlineStr">
        <is>
          <t>HL7 ValueSet expand (2026-06-09)</t>
        </is>
      </c>
      <c r="K387" t="inlineStr">
        <is>
          <t>false</t>
        </is>
      </c>
    </row>
    <row r="388">
      <c r="A388" t="inlineStr">
        <is>
          <t>Patient.race</t>
        </is>
      </c>
      <c r="B388" t="inlineStr">
        <is>
          <t>urn:oid:2.16.840.1.113883.6.238</t>
        </is>
      </c>
      <c r="C388" t="inlineStr">
        <is>
          <t>1495-1</t>
        </is>
      </c>
      <c r="D388" t="inlineStr">
        <is>
          <t>Jemez</t>
        </is>
      </c>
      <c r="E388" t="inlineStr">
        <is>
          <t>detailed</t>
        </is>
      </c>
      <c r="F388" t="inlineStr">
        <is>
          <t>primary</t>
        </is>
      </c>
      <c r="G388" t="inlineStr">
        <is>
          <t>required</t>
        </is>
      </c>
      <c r="H388" t="inlineStr">
        <is>
          <t>true</t>
        </is>
      </c>
      <c r="I388" t="inlineStr">
        <is>
          <t>475</t>
        </is>
      </c>
      <c r="J388" t="inlineStr">
        <is>
          <t>HL7 ValueSet expand (2026-06-09)</t>
        </is>
      </c>
      <c r="K388" t="inlineStr">
        <is>
          <t>false</t>
        </is>
      </c>
    </row>
    <row r="389">
      <c r="A389" t="inlineStr">
        <is>
          <t>Patient.race</t>
        </is>
      </c>
      <c r="B389" t="inlineStr">
        <is>
          <t>urn:oid:2.16.840.1.113883.6.238</t>
        </is>
      </c>
      <c r="C389" t="inlineStr">
        <is>
          <t>1496-9</t>
        </is>
      </c>
      <c r="D389" t="inlineStr">
        <is>
          <t>Keres</t>
        </is>
      </c>
      <c r="E389" t="inlineStr">
        <is>
          <t>detailed</t>
        </is>
      </c>
      <c r="F389" t="inlineStr">
        <is>
          <t>primary</t>
        </is>
      </c>
      <c r="G389" t="inlineStr">
        <is>
          <t>required</t>
        </is>
      </c>
      <c r="H389" t="inlineStr">
        <is>
          <t>true</t>
        </is>
      </c>
      <c r="I389" t="inlineStr">
        <is>
          <t>476</t>
        </is>
      </c>
      <c r="J389" t="inlineStr">
        <is>
          <t>HL7 ValueSet expand (2026-06-09)</t>
        </is>
      </c>
      <c r="K389" t="inlineStr">
        <is>
          <t>false</t>
        </is>
      </c>
    </row>
    <row r="390">
      <c r="A390" t="inlineStr">
        <is>
          <t>Patient.race</t>
        </is>
      </c>
      <c r="B390" t="inlineStr">
        <is>
          <t>urn:oid:2.16.840.1.113883.6.238</t>
        </is>
      </c>
      <c r="C390" t="inlineStr">
        <is>
          <t>1497-7</t>
        </is>
      </c>
      <c r="D390" t="inlineStr">
        <is>
          <t>Laguna</t>
        </is>
      </c>
      <c r="E390" t="inlineStr">
        <is>
          <t>detailed</t>
        </is>
      </c>
      <c r="F390" t="inlineStr">
        <is>
          <t>primary</t>
        </is>
      </c>
      <c r="G390" t="inlineStr">
        <is>
          <t>required</t>
        </is>
      </c>
      <c r="H390" t="inlineStr">
        <is>
          <t>true</t>
        </is>
      </c>
      <c r="I390" t="inlineStr">
        <is>
          <t>477</t>
        </is>
      </c>
      <c r="J390" t="inlineStr">
        <is>
          <t>HL7 ValueSet expand (2026-06-09)</t>
        </is>
      </c>
      <c r="K390" t="inlineStr">
        <is>
          <t>false</t>
        </is>
      </c>
    </row>
    <row r="391">
      <c r="A391" t="inlineStr">
        <is>
          <t>Patient.race</t>
        </is>
      </c>
      <c r="B391" t="inlineStr">
        <is>
          <t>urn:oid:2.16.840.1.113883.6.238</t>
        </is>
      </c>
      <c r="C391" t="inlineStr">
        <is>
          <t>1498-5</t>
        </is>
      </c>
      <c r="D391" t="inlineStr">
        <is>
          <t>Nambe</t>
        </is>
      </c>
      <c r="E391" t="inlineStr">
        <is>
          <t>detailed</t>
        </is>
      </c>
      <c r="F391" t="inlineStr">
        <is>
          <t>primary</t>
        </is>
      </c>
      <c r="G391" t="inlineStr">
        <is>
          <t>required</t>
        </is>
      </c>
      <c r="H391" t="inlineStr">
        <is>
          <t>true</t>
        </is>
      </c>
      <c r="I391" t="inlineStr">
        <is>
          <t>478</t>
        </is>
      </c>
      <c r="J391" t="inlineStr">
        <is>
          <t>HL7 ValueSet expand (2026-06-09)</t>
        </is>
      </c>
      <c r="K391" t="inlineStr">
        <is>
          <t>false</t>
        </is>
      </c>
    </row>
    <row r="392">
      <c r="A392" t="inlineStr">
        <is>
          <t>Patient.race</t>
        </is>
      </c>
      <c r="B392" t="inlineStr">
        <is>
          <t>urn:oid:2.16.840.1.113883.6.238</t>
        </is>
      </c>
      <c r="C392" t="inlineStr">
        <is>
          <t>1499-3</t>
        </is>
      </c>
      <c r="D392" t="inlineStr">
        <is>
          <t>Picuris</t>
        </is>
      </c>
      <c r="E392" t="inlineStr">
        <is>
          <t>detailed</t>
        </is>
      </c>
      <c r="F392" t="inlineStr">
        <is>
          <t>primary</t>
        </is>
      </c>
      <c r="G392" t="inlineStr">
        <is>
          <t>required</t>
        </is>
      </c>
      <c r="H392" t="inlineStr">
        <is>
          <t>true</t>
        </is>
      </c>
      <c r="I392" t="inlineStr">
        <is>
          <t>479</t>
        </is>
      </c>
      <c r="J392" t="inlineStr">
        <is>
          <t>HL7 ValueSet expand (2026-06-09)</t>
        </is>
      </c>
      <c r="K392" t="inlineStr">
        <is>
          <t>false</t>
        </is>
      </c>
    </row>
    <row r="393">
      <c r="A393" t="inlineStr">
        <is>
          <t>Patient.race</t>
        </is>
      </c>
      <c r="B393" t="inlineStr">
        <is>
          <t>urn:oid:2.16.840.1.113883.6.238</t>
        </is>
      </c>
      <c r="C393" t="inlineStr">
        <is>
          <t>1500-8</t>
        </is>
      </c>
      <c r="D393" t="inlineStr">
        <is>
          <t>Piro</t>
        </is>
      </c>
      <c r="E393" t="inlineStr">
        <is>
          <t>detailed</t>
        </is>
      </c>
      <c r="F393" t="inlineStr">
        <is>
          <t>primary</t>
        </is>
      </c>
      <c r="G393" t="inlineStr">
        <is>
          <t>required</t>
        </is>
      </c>
      <c r="H393" t="inlineStr">
        <is>
          <t>true</t>
        </is>
      </c>
      <c r="I393" t="inlineStr">
        <is>
          <t>480</t>
        </is>
      </c>
      <c r="J393" t="inlineStr">
        <is>
          <t>HL7 ValueSet expand (2026-06-09)</t>
        </is>
      </c>
      <c r="K393" t="inlineStr">
        <is>
          <t>false</t>
        </is>
      </c>
    </row>
    <row r="394">
      <c r="A394" t="inlineStr">
        <is>
          <t>Patient.race</t>
        </is>
      </c>
      <c r="B394" t="inlineStr">
        <is>
          <t>urn:oid:2.16.840.1.113883.6.238</t>
        </is>
      </c>
      <c r="C394" t="inlineStr">
        <is>
          <t>1501-6</t>
        </is>
      </c>
      <c r="D394" t="inlineStr">
        <is>
          <t>Pojoaque</t>
        </is>
      </c>
      <c r="E394" t="inlineStr">
        <is>
          <t>detailed</t>
        </is>
      </c>
      <c r="F394" t="inlineStr">
        <is>
          <t>primary</t>
        </is>
      </c>
      <c r="G394" t="inlineStr">
        <is>
          <t>required</t>
        </is>
      </c>
      <c r="H394" t="inlineStr">
        <is>
          <t>true</t>
        </is>
      </c>
      <c r="I394" t="inlineStr">
        <is>
          <t>481</t>
        </is>
      </c>
      <c r="J394" t="inlineStr">
        <is>
          <t>HL7 ValueSet expand (2026-06-09)</t>
        </is>
      </c>
      <c r="K394" t="inlineStr">
        <is>
          <t>false</t>
        </is>
      </c>
    </row>
    <row r="395">
      <c r="A395" t="inlineStr">
        <is>
          <t>Patient.race</t>
        </is>
      </c>
      <c r="B395" t="inlineStr">
        <is>
          <t>urn:oid:2.16.840.1.113883.6.238</t>
        </is>
      </c>
      <c r="C395" t="inlineStr">
        <is>
          <t>1502-4</t>
        </is>
      </c>
      <c r="D395" t="inlineStr">
        <is>
          <t>San Felipe</t>
        </is>
      </c>
      <c r="E395" t="inlineStr">
        <is>
          <t>detailed</t>
        </is>
      </c>
      <c r="F395" t="inlineStr">
        <is>
          <t>primary</t>
        </is>
      </c>
      <c r="G395" t="inlineStr">
        <is>
          <t>required</t>
        </is>
      </c>
      <c r="H395" t="inlineStr">
        <is>
          <t>true</t>
        </is>
      </c>
      <c r="I395" t="inlineStr">
        <is>
          <t>482</t>
        </is>
      </c>
      <c r="J395" t="inlineStr">
        <is>
          <t>HL7 ValueSet expand (2026-06-09)</t>
        </is>
      </c>
      <c r="K395" t="inlineStr">
        <is>
          <t>false</t>
        </is>
      </c>
    </row>
    <row r="396">
      <c r="A396" t="inlineStr">
        <is>
          <t>Patient.race</t>
        </is>
      </c>
      <c r="B396" t="inlineStr">
        <is>
          <t>urn:oid:2.16.840.1.113883.6.238</t>
        </is>
      </c>
      <c r="C396" t="inlineStr">
        <is>
          <t>1503-2</t>
        </is>
      </c>
      <c r="D396" t="inlineStr">
        <is>
          <t>San Ildefonso</t>
        </is>
      </c>
      <c r="E396" t="inlineStr">
        <is>
          <t>detailed</t>
        </is>
      </c>
      <c r="F396" t="inlineStr">
        <is>
          <t>primary</t>
        </is>
      </c>
      <c r="G396" t="inlineStr">
        <is>
          <t>required</t>
        </is>
      </c>
      <c r="H396" t="inlineStr">
        <is>
          <t>true</t>
        </is>
      </c>
      <c r="I396" t="inlineStr">
        <is>
          <t>483</t>
        </is>
      </c>
      <c r="J396" t="inlineStr">
        <is>
          <t>HL7 ValueSet expand (2026-06-09)</t>
        </is>
      </c>
      <c r="K396" t="inlineStr">
        <is>
          <t>false</t>
        </is>
      </c>
    </row>
    <row r="397">
      <c r="A397" t="inlineStr">
        <is>
          <t>Patient.race</t>
        </is>
      </c>
      <c r="B397" t="inlineStr">
        <is>
          <t>urn:oid:2.16.840.1.113883.6.238</t>
        </is>
      </c>
      <c r="C397" t="inlineStr">
        <is>
          <t>1504-0</t>
        </is>
      </c>
      <c r="D397" t="inlineStr">
        <is>
          <t>San Juan Pueblo</t>
        </is>
      </c>
      <c r="E397" t="inlineStr">
        <is>
          <t>detailed</t>
        </is>
      </c>
      <c r="F397" t="inlineStr">
        <is>
          <t>primary</t>
        </is>
      </c>
      <c r="G397" t="inlineStr">
        <is>
          <t>required</t>
        </is>
      </c>
      <c r="H397" t="inlineStr">
        <is>
          <t>true</t>
        </is>
      </c>
      <c r="I397" t="inlineStr">
        <is>
          <t>484</t>
        </is>
      </c>
      <c r="J397" t="inlineStr">
        <is>
          <t>HL7 ValueSet expand (2026-06-09)</t>
        </is>
      </c>
      <c r="K397" t="inlineStr">
        <is>
          <t>false</t>
        </is>
      </c>
    </row>
    <row r="398">
      <c r="A398" t="inlineStr">
        <is>
          <t>Patient.race</t>
        </is>
      </c>
      <c r="B398" t="inlineStr">
        <is>
          <t>urn:oid:2.16.840.1.113883.6.238</t>
        </is>
      </c>
      <c r="C398" t="inlineStr">
        <is>
          <t>1505-7</t>
        </is>
      </c>
      <c r="D398" t="inlineStr">
        <is>
          <t>San Juan De</t>
        </is>
      </c>
      <c r="E398" t="inlineStr">
        <is>
          <t>detailed</t>
        </is>
      </c>
      <c r="F398" t="inlineStr">
        <is>
          <t>primary</t>
        </is>
      </c>
      <c r="G398" t="inlineStr">
        <is>
          <t>required</t>
        </is>
      </c>
      <c r="H398" t="inlineStr">
        <is>
          <t>true</t>
        </is>
      </c>
      <c r="I398" t="inlineStr">
        <is>
          <t>485</t>
        </is>
      </c>
      <c r="J398" t="inlineStr">
        <is>
          <t>HL7 ValueSet expand (2026-06-09)</t>
        </is>
      </c>
      <c r="K398" t="inlineStr">
        <is>
          <t>false</t>
        </is>
      </c>
    </row>
    <row r="399">
      <c r="A399" t="inlineStr">
        <is>
          <t>Patient.race</t>
        </is>
      </c>
      <c r="B399" t="inlineStr">
        <is>
          <t>urn:oid:2.16.840.1.113883.6.238</t>
        </is>
      </c>
      <c r="C399" t="inlineStr">
        <is>
          <t>1506-5</t>
        </is>
      </c>
      <c r="D399" t="inlineStr">
        <is>
          <t>San Juan</t>
        </is>
      </c>
      <c r="E399" t="inlineStr">
        <is>
          <t>detailed</t>
        </is>
      </c>
      <c r="F399" t="inlineStr">
        <is>
          <t>primary</t>
        </is>
      </c>
      <c r="G399" t="inlineStr">
        <is>
          <t>required</t>
        </is>
      </c>
      <c r="H399" t="inlineStr">
        <is>
          <t>true</t>
        </is>
      </c>
      <c r="I399" t="inlineStr">
        <is>
          <t>486</t>
        </is>
      </c>
      <c r="J399" t="inlineStr">
        <is>
          <t>HL7 ValueSet expand (2026-06-09)</t>
        </is>
      </c>
      <c r="K399" t="inlineStr">
        <is>
          <t>false</t>
        </is>
      </c>
    </row>
    <row r="400">
      <c r="A400" t="inlineStr">
        <is>
          <t>Patient.race</t>
        </is>
      </c>
      <c r="B400" t="inlineStr">
        <is>
          <t>urn:oid:2.16.840.1.113883.6.238</t>
        </is>
      </c>
      <c r="C400" t="inlineStr">
        <is>
          <t>1507-3</t>
        </is>
      </c>
      <c r="D400" t="inlineStr">
        <is>
          <t>Sandia</t>
        </is>
      </c>
      <c r="E400" t="inlineStr">
        <is>
          <t>detailed</t>
        </is>
      </c>
      <c r="F400" t="inlineStr">
        <is>
          <t>primary</t>
        </is>
      </c>
      <c r="G400" t="inlineStr">
        <is>
          <t>required</t>
        </is>
      </c>
      <c r="H400" t="inlineStr">
        <is>
          <t>true</t>
        </is>
      </c>
      <c r="I400" t="inlineStr">
        <is>
          <t>487</t>
        </is>
      </c>
      <c r="J400" t="inlineStr">
        <is>
          <t>HL7 ValueSet expand (2026-06-09)</t>
        </is>
      </c>
      <c r="K400" t="inlineStr">
        <is>
          <t>false</t>
        </is>
      </c>
    </row>
    <row r="401">
      <c r="A401" t="inlineStr">
        <is>
          <t>Patient.race</t>
        </is>
      </c>
      <c r="B401" t="inlineStr">
        <is>
          <t>urn:oid:2.16.840.1.113883.6.238</t>
        </is>
      </c>
      <c r="C401" t="inlineStr">
        <is>
          <t>1508-1</t>
        </is>
      </c>
      <c r="D401" t="inlineStr">
        <is>
          <t>Santa Ana</t>
        </is>
      </c>
      <c r="E401" t="inlineStr">
        <is>
          <t>detailed</t>
        </is>
      </c>
      <c r="F401" t="inlineStr">
        <is>
          <t>primary</t>
        </is>
      </c>
      <c r="G401" t="inlineStr">
        <is>
          <t>required</t>
        </is>
      </c>
      <c r="H401" t="inlineStr">
        <is>
          <t>true</t>
        </is>
      </c>
      <c r="I401" t="inlineStr">
        <is>
          <t>488</t>
        </is>
      </c>
      <c r="J401" t="inlineStr">
        <is>
          <t>HL7 ValueSet expand (2026-06-09)</t>
        </is>
      </c>
      <c r="K401" t="inlineStr">
        <is>
          <t>false</t>
        </is>
      </c>
    </row>
    <row r="402">
      <c r="A402" t="inlineStr">
        <is>
          <t>Patient.race</t>
        </is>
      </c>
      <c r="B402" t="inlineStr">
        <is>
          <t>urn:oid:2.16.840.1.113883.6.238</t>
        </is>
      </c>
      <c r="C402" t="inlineStr">
        <is>
          <t>1509-9</t>
        </is>
      </c>
      <c r="D402" t="inlineStr">
        <is>
          <t>Santa Clara</t>
        </is>
      </c>
      <c r="E402" t="inlineStr">
        <is>
          <t>detailed</t>
        </is>
      </c>
      <c r="F402" t="inlineStr">
        <is>
          <t>primary</t>
        </is>
      </c>
      <c r="G402" t="inlineStr">
        <is>
          <t>required</t>
        </is>
      </c>
      <c r="H402" t="inlineStr">
        <is>
          <t>true</t>
        </is>
      </c>
      <c r="I402" t="inlineStr">
        <is>
          <t>489</t>
        </is>
      </c>
      <c r="J402" t="inlineStr">
        <is>
          <t>HL7 ValueSet expand (2026-06-09)</t>
        </is>
      </c>
      <c r="K402" t="inlineStr">
        <is>
          <t>false</t>
        </is>
      </c>
    </row>
    <row r="403">
      <c r="A403" t="inlineStr">
        <is>
          <t>Patient.race</t>
        </is>
      </c>
      <c r="B403" t="inlineStr">
        <is>
          <t>urn:oid:2.16.840.1.113883.6.238</t>
        </is>
      </c>
      <c r="C403" t="inlineStr">
        <is>
          <t>1510-7</t>
        </is>
      </c>
      <c r="D403" t="inlineStr">
        <is>
          <t>Santo Domingo</t>
        </is>
      </c>
      <c r="E403" t="inlineStr">
        <is>
          <t>detailed</t>
        </is>
      </c>
      <c r="F403" t="inlineStr">
        <is>
          <t>primary</t>
        </is>
      </c>
      <c r="G403" t="inlineStr">
        <is>
          <t>required</t>
        </is>
      </c>
      <c r="H403" t="inlineStr">
        <is>
          <t>true</t>
        </is>
      </c>
      <c r="I403" t="inlineStr">
        <is>
          <t>490</t>
        </is>
      </c>
      <c r="J403" t="inlineStr">
        <is>
          <t>HL7 ValueSet expand (2026-06-09)</t>
        </is>
      </c>
      <c r="K403" t="inlineStr">
        <is>
          <t>false</t>
        </is>
      </c>
    </row>
    <row r="404">
      <c r="A404" t="inlineStr">
        <is>
          <t>Patient.race</t>
        </is>
      </c>
      <c r="B404" t="inlineStr">
        <is>
          <t>urn:oid:2.16.840.1.113883.6.238</t>
        </is>
      </c>
      <c r="C404" t="inlineStr">
        <is>
          <t>1511-5</t>
        </is>
      </c>
      <c r="D404" t="inlineStr">
        <is>
          <t>Taos</t>
        </is>
      </c>
      <c r="E404" t="inlineStr">
        <is>
          <t>detailed</t>
        </is>
      </c>
      <c r="F404" t="inlineStr">
        <is>
          <t>primary</t>
        </is>
      </c>
      <c r="G404" t="inlineStr">
        <is>
          <t>required</t>
        </is>
      </c>
      <c r="H404" t="inlineStr">
        <is>
          <t>true</t>
        </is>
      </c>
      <c r="I404" t="inlineStr">
        <is>
          <t>491</t>
        </is>
      </c>
      <c r="J404" t="inlineStr">
        <is>
          <t>HL7 ValueSet expand (2026-06-09)</t>
        </is>
      </c>
      <c r="K404" t="inlineStr">
        <is>
          <t>false</t>
        </is>
      </c>
    </row>
    <row r="405">
      <c r="A405" t="inlineStr">
        <is>
          <t>Patient.race</t>
        </is>
      </c>
      <c r="B405" t="inlineStr">
        <is>
          <t>urn:oid:2.16.840.1.113883.6.238</t>
        </is>
      </c>
      <c r="C405" t="inlineStr">
        <is>
          <t>1512-3</t>
        </is>
      </c>
      <c r="D405" t="inlineStr">
        <is>
          <t>Tesuque</t>
        </is>
      </c>
      <c r="E405" t="inlineStr">
        <is>
          <t>detailed</t>
        </is>
      </c>
      <c r="F405" t="inlineStr">
        <is>
          <t>primary</t>
        </is>
      </c>
      <c r="G405" t="inlineStr">
        <is>
          <t>required</t>
        </is>
      </c>
      <c r="H405" t="inlineStr">
        <is>
          <t>true</t>
        </is>
      </c>
      <c r="I405" t="inlineStr">
        <is>
          <t>492</t>
        </is>
      </c>
      <c r="J405" t="inlineStr">
        <is>
          <t>HL7 ValueSet expand (2026-06-09)</t>
        </is>
      </c>
      <c r="K405" t="inlineStr">
        <is>
          <t>false</t>
        </is>
      </c>
    </row>
    <row r="406">
      <c r="A406" t="inlineStr">
        <is>
          <t>Patient.race</t>
        </is>
      </c>
      <c r="B406" t="inlineStr">
        <is>
          <t>urn:oid:2.16.840.1.113883.6.238</t>
        </is>
      </c>
      <c r="C406" t="inlineStr">
        <is>
          <t>1513-1</t>
        </is>
      </c>
      <c r="D406" t="inlineStr">
        <is>
          <t>Tewa</t>
        </is>
      </c>
      <c r="E406" t="inlineStr">
        <is>
          <t>detailed</t>
        </is>
      </c>
      <c r="F406" t="inlineStr">
        <is>
          <t>primary</t>
        </is>
      </c>
      <c r="G406" t="inlineStr">
        <is>
          <t>required</t>
        </is>
      </c>
      <c r="H406" t="inlineStr">
        <is>
          <t>true</t>
        </is>
      </c>
      <c r="I406" t="inlineStr">
        <is>
          <t>493</t>
        </is>
      </c>
      <c r="J406" t="inlineStr">
        <is>
          <t>HL7 ValueSet expand (2026-06-09)</t>
        </is>
      </c>
      <c r="K406" t="inlineStr">
        <is>
          <t>false</t>
        </is>
      </c>
    </row>
    <row r="407">
      <c r="A407" t="inlineStr">
        <is>
          <t>Patient.race</t>
        </is>
      </c>
      <c r="B407" t="inlineStr">
        <is>
          <t>urn:oid:2.16.840.1.113883.6.238</t>
        </is>
      </c>
      <c r="C407" t="inlineStr">
        <is>
          <t>1514-9</t>
        </is>
      </c>
      <c r="D407" t="inlineStr">
        <is>
          <t>Tigua</t>
        </is>
      </c>
      <c r="E407" t="inlineStr">
        <is>
          <t>detailed</t>
        </is>
      </c>
      <c r="F407" t="inlineStr">
        <is>
          <t>primary</t>
        </is>
      </c>
      <c r="G407" t="inlineStr">
        <is>
          <t>required</t>
        </is>
      </c>
      <c r="H407" t="inlineStr">
        <is>
          <t>true</t>
        </is>
      </c>
      <c r="I407" t="inlineStr">
        <is>
          <t>494</t>
        </is>
      </c>
      <c r="J407" t="inlineStr">
        <is>
          <t>HL7 ValueSet expand (2026-06-09)</t>
        </is>
      </c>
      <c r="K407" t="inlineStr">
        <is>
          <t>false</t>
        </is>
      </c>
    </row>
    <row r="408">
      <c r="A408" t="inlineStr">
        <is>
          <t>Patient.race</t>
        </is>
      </c>
      <c r="B408" t="inlineStr">
        <is>
          <t>urn:oid:2.16.840.1.113883.6.238</t>
        </is>
      </c>
      <c r="C408" t="inlineStr">
        <is>
          <t>1515-6</t>
        </is>
      </c>
      <c r="D408" t="inlineStr">
        <is>
          <t>Zia</t>
        </is>
      </c>
      <c r="E408" t="inlineStr">
        <is>
          <t>detailed</t>
        </is>
      </c>
      <c r="F408" t="inlineStr">
        <is>
          <t>primary</t>
        </is>
      </c>
      <c r="G408" t="inlineStr">
        <is>
          <t>required</t>
        </is>
      </c>
      <c r="H408" t="inlineStr">
        <is>
          <t>true</t>
        </is>
      </c>
      <c r="I408" t="inlineStr">
        <is>
          <t>495</t>
        </is>
      </c>
      <c r="J408" t="inlineStr">
        <is>
          <t>HL7 ValueSet expand (2026-06-09)</t>
        </is>
      </c>
      <c r="K408" t="inlineStr">
        <is>
          <t>false</t>
        </is>
      </c>
    </row>
    <row r="409">
      <c r="A409" t="inlineStr">
        <is>
          <t>Patient.race</t>
        </is>
      </c>
      <c r="B409" t="inlineStr">
        <is>
          <t>urn:oid:2.16.840.1.113883.6.238</t>
        </is>
      </c>
      <c r="C409" t="inlineStr">
        <is>
          <t>1516-4</t>
        </is>
      </c>
      <c r="D409" t="inlineStr">
        <is>
          <t>Zuni</t>
        </is>
      </c>
      <c r="E409" t="inlineStr">
        <is>
          <t>detailed</t>
        </is>
      </c>
      <c r="F409" t="inlineStr">
        <is>
          <t>primary</t>
        </is>
      </c>
      <c r="G409" t="inlineStr">
        <is>
          <t>required</t>
        </is>
      </c>
      <c r="H409" t="inlineStr">
        <is>
          <t>true</t>
        </is>
      </c>
      <c r="I409" t="inlineStr">
        <is>
          <t>496</t>
        </is>
      </c>
      <c r="J409" t="inlineStr">
        <is>
          <t>HL7 ValueSet expand (2026-06-09)</t>
        </is>
      </c>
      <c r="K409" t="inlineStr">
        <is>
          <t>false</t>
        </is>
      </c>
    </row>
    <row r="410">
      <c r="A410" t="inlineStr">
        <is>
          <t>Patient.race</t>
        </is>
      </c>
      <c r="B410" t="inlineStr">
        <is>
          <t>urn:oid:2.16.840.1.113883.6.238</t>
        </is>
      </c>
      <c r="C410" t="inlineStr">
        <is>
          <t>1518-0</t>
        </is>
      </c>
      <c r="D410" t="inlineStr">
        <is>
          <t>Puget Sound Salish</t>
        </is>
      </c>
      <c r="E410" t="inlineStr">
        <is>
          <t>detailed</t>
        </is>
      </c>
      <c r="F410" t="inlineStr">
        <is>
          <t>primary</t>
        </is>
      </c>
      <c r="G410" t="inlineStr">
        <is>
          <t>required</t>
        </is>
      </c>
      <c r="H410" t="inlineStr">
        <is>
          <t>true</t>
        </is>
      </c>
      <c r="I410" t="inlineStr">
        <is>
          <t>497</t>
        </is>
      </c>
      <c r="J410" t="inlineStr">
        <is>
          <t>HL7 ValueSet expand (2026-06-09)</t>
        </is>
      </c>
      <c r="K410" t="inlineStr">
        <is>
          <t>false</t>
        </is>
      </c>
    </row>
    <row r="411">
      <c r="A411" t="inlineStr">
        <is>
          <t>Patient.race</t>
        </is>
      </c>
      <c r="B411" t="inlineStr">
        <is>
          <t>urn:oid:2.16.840.1.113883.6.238</t>
        </is>
      </c>
      <c r="C411" t="inlineStr">
        <is>
          <t>1519-8</t>
        </is>
      </c>
      <c r="D411" t="inlineStr">
        <is>
          <t>Duwamish</t>
        </is>
      </c>
      <c r="E411" t="inlineStr">
        <is>
          <t>detailed</t>
        </is>
      </c>
      <c r="F411" t="inlineStr">
        <is>
          <t>primary</t>
        </is>
      </c>
      <c r="G411" t="inlineStr">
        <is>
          <t>required</t>
        </is>
      </c>
      <c r="H411" t="inlineStr">
        <is>
          <t>true</t>
        </is>
      </c>
      <c r="I411" t="inlineStr">
        <is>
          <t>498</t>
        </is>
      </c>
      <c r="J411" t="inlineStr">
        <is>
          <t>HL7 ValueSet expand (2026-06-09)</t>
        </is>
      </c>
      <c r="K411" t="inlineStr">
        <is>
          <t>false</t>
        </is>
      </c>
    </row>
    <row r="412">
      <c r="A412" t="inlineStr">
        <is>
          <t>Patient.race</t>
        </is>
      </c>
      <c r="B412" t="inlineStr">
        <is>
          <t>urn:oid:2.16.840.1.113883.6.238</t>
        </is>
      </c>
      <c r="C412" t="inlineStr">
        <is>
          <t>1520-6</t>
        </is>
      </c>
      <c r="D412" t="inlineStr">
        <is>
          <t>Kikiallus</t>
        </is>
      </c>
      <c r="E412" t="inlineStr">
        <is>
          <t>detailed</t>
        </is>
      </c>
      <c r="F412" t="inlineStr">
        <is>
          <t>primary</t>
        </is>
      </c>
      <c r="G412" t="inlineStr">
        <is>
          <t>required</t>
        </is>
      </c>
      <c r="H412" t="inlineStr">
        <is>
          <t>true</t>
        </is>
      </c>
      <c r="I412" t="inlineStr">
        <is>
          <t>499</t>
        </is>
      </c>
      <c r="J412" t="inlineStr">
        <is>
          <t>HL7 ValueSet expand (2026-06-09)</t>
        </is>
      </c>
      <c r="K412" t="inlineStr">
        <is>
          <t>false</t>
        </is>
      </c>
    </row>
    <row r="413">
      <c r="A413" t="inlineStr">
        <is>
          <t>Patient.race</t>
        </is>
      </c>
      <c r="B413" t="inlineStr">
        <is>
          <t>urn:oid:2.16.840.1.113883.6.238</t>
        </is>
      </c>
      <c r="C413" t="inlineStr">
        <is>
          <t>1521-4</t>
        </is>
      </c>
      <c r="D413" t="inlineStr">
        <is>
          <t>Lower Skagit</t>
        </is>
      </c>
      <c r="E413" t="inlineStr">
        <is>
          <t>detailed</t>
        </is>
      </c>
      <c r="F413" t="inlineStr">
        <is>
          <t>primary</t>
        </is>
      </c>
      <c r="G413" t="inlineStr">
        <is>
          <t>required</t>
        </is>
      </c>
      <c r="H413" t="inlineStr">
        <is>
          <t>true</t>
        </is>
      </c>
      <c r="I413" t="inlineStr">
        <is>
          <t>500</t>
        </is>
      </c>
      <c r="J413" t="inlineStr">
        <is>
          <t>HL7 ValueSet expand (2026-06-09)</t>
        </is>
      </c>
      <c r="K413" t="inlineStr">
        <is>
          <t>false</t>
        </is>
      </c>
    </row>
    <row r="414">
      <c r="A414" t="inlineStr">
        <is>
          <t>Patient.race</t>
        </is>
      </c>
      <c r="B414" t="inlineStr">
        <is>
          <t>urn:oid:2.16.840.1.113883.6.238</t>
        </is>
      </c>
      <c r="C414" t="inlineStr">
        <is>
          <t>1522-2</t>
        </is>
      </c>
      <c r="D414" t="inlineStr">
        <is>
          <t>Muckleshoot</t>
        </is>
      </c>
      <c r="E414" t="inlineStr">
        <is>
          <t>detailed</t>
        </is>
      </c>
      <c r="F414" t="inlineStr">
        <is>
          <t>primary</t>
        </is>
      </c>
      <c r="G414" t="inlineStr">
        <is>
          <t>required</t>
        </is>
      </c>
      <c r="H414" t="inlineStr">
        <is>
          <t>true</t>
        </is>
      </c>
      <c r="I414" t="inlineStr">
        <is>
          <t>501</t>
        </is>
      </c>
      <c r="J414" t="inlineStr">
        <is>
          <t>HL7 ValueSet expand (2026-06-09)</t>
        </is>
      </c>
      <c r="K414" t="inlineStr">
        <is>
          <t>false</t>
        </is>
      </c>
    </row>
    <row r="415">
      <c r="A415" t="inlineStr">
        <is>
          <t>Patient.race</t>
        </is>
      </c>
      <c r="B415" t="inlineStr">
        <is>
          <t>urn:oid:2.16.840.1.113883.6.238</t>
        </is>
      </c>
      <c r="C415" t="inlineStr">
        <is>
          <t>1523-0</t>
        </is>
      </c>
      <c r="D415" t="inlineStr">
        <is>
          <t>Nisqually</t>
        </is>
      </c>
      <c r="E415" t="inlineStr">
        <is>
          <t>detailed</t>
        </is>
      </c>
      <c r="F415" t="inlineStr">
        <is>
          <t>primary</t>
        </is>
      </c>
      <c r="G415" t="inlineStr">
        <is>
          <t>required</t>
        </is>
      </c>
      <c r="H415" t="inlineStr">
        <is>
          <t>true</t>
        </is>
      </c>
      <c r="I415" t="inlineStr">
        <is>
          <t>502</t>
        </is>
      </c>
      <c r="J415" t="inlineStr">
        <is>
          <t>HL7 ValueSet expand (2026-06-09)</t>
        </is>
      </c>
      <c r="K415" t="inlineStr">
        <is>
          <t>false</t>
        </is>
      </c>
    </row>
    <row r="416">
      <c r="A416" t="inlineStr">
        <is>
          <t>Patient.race</t>
        </is>
      </c>
      <c r="B416" t="inlineStr">
        <is>
          <t>urn:oid:2.16.840.1.113883.6.238</t>
        </is>
      </c>
      <c r="C416" t="inlineStr">
        <is>
          <t>1524-8</t>
        </is>
      </c>
      <c r="D416" t="inlineStr">
        <is>
          <t>Nooksack</t>
        </is>
      </c>
      <c r="E416" t="inlineStr">
        <is>
          <t>detailed</t>
        </is>
      </c>
      <c r="F416" t="inlineStr">
        <is>
          <t>primary</t>
        </is>
      </c>
      <c r="G416" t="inlineStr">
        <is>
          <t>required</t>
        </is>
      </c>
      <c r="H416" t="inlineStr">
        <is>
          <t>true</t>
        </is>
      </c>
      <c r="I416" t="inlineStr">
        <is>
          <t>503</t>
        </is>
      </c>
      <c r="J416" t="inlineStr">
        <is>
          <t>HL7 ValueSet expand (2026-06-09)</t>
        </is>
      </c>
      <c r="K416" t="inlineStr">
        <is>
          <t>false</t>
        </is>
      </c>
    </row>
    <row r="417">
      <c r="A417" t="inlineStr">
        <is>
          <t>Patient.race</t>
        </is>
      </c>
      <c r="B417" t="inlineStr">
        <is>
          <t>urn:oid:2.16.840.1.113883.6.238</t>
        </is>
      </c>
      <c r="C417" t="inlineStr">
        <is>
          <t>1525-5</t>
        </is>
      </c>
      <c r="D417" t="inlineStr">
        <is>
          <t>Port Madison</t>
        </is>
      </c>
      <c r="E417" t="inlineStr">
        <is>
          <t>detailed</t>
        </is>
      </c>
      <c r="F417" t="inlineStr">
        <is>
          <t>primary</t>
        </is>
      </c>
      <c r="G417" t="inlineStr">
        <is>
          <t>required</t>
        </is>
      </c>
      <c r="H417" t="inlineStr">
        <is>
          <t>true</t>
        </is>
      </c>
      <c r="I417" t="inlineStr">
        <is>
          <t>504</t>
        </is>
      </c>
      <c r="J417" t="inlineStr">
        <is>
          <t>HL7 ValueSet expand (2026-06-09)</t>
        </is>
      </c>
      <c r="K417" t="inlineStr">
        <is>
          <t>false</t>
        </is>
      </c>
    </row>
    <row r="418">
      <c r="A418" t="inlineStr">
        <is>
          <t>Patient.race</t>
        </is>
      </c>
      <c r="B418" t="inlineStr">
        <is>
          <t>urn:oid:2.16.840.1.113883.6.238</t>
        </is>
      </c>
      <c r="C418" t="inlineStr">
        <is>
          <t>1526-3</t>
        </is>
      </c>
      <c r="D418" t="inlineStr">
        <is>
          <t>Puyallup</t>
        </is>
      </c>
      <c r="E418" t="inlineStr">
        <is>
          <t>detailed</t>
        </is>
      </c>
      <c r="F418" t="inlineStr">
        <is>
          <t>primary</t>
        </is>
      </c>
      <c r="G418" t="inlineStr">
        <is>
          <t>required</t>
        </is>
      </c>
      <c r="H418" t="inlineStr">
        <is>
          <t>true</t>
        </is>
      </c>
      <c r="I418" t="inlineStr">
        <is>
          <t>505</t>
        </is>
      </c>
      <c r="J418" t="inlineStr">
        <is>
          <t>HL7 ValueSet expand (2026-06-09)</t>
        </is>
      </c>
      <c r="K418" t="inlineStr">
        <is>
          <t>false</t>
        </is>
      </c>
    </row>
    <row r="419">
      <c r="A419" t="inlineStr">
        <is>
          <t>Patient.race</t>
        </is>
      </c>
      <c r="B419" t="inlineStr">
        <is>
          <t>urn:oid:2.16.840.1.113883.6.238</t>
        </is>
      </c>
      <c r="C419" t="inlineStr">
        <is>
          <t>1527-1</t>
        </is>
      </c>
      <c r="D419" t="inlineStr">
        <is>
          <t>Samish</t>
        </is>
      </c>
      <c r="E419" t="inlineStr">
        <is>
          <t>detailed</t>
        </is>
      </c>
      <c r="F419" t="inlineStr">
        <is>
          <t>primary</t>
        </is>
      </c>
      <c r="G419" t="inlineStr">
        <is>
          <t>required</t>
        </is>
      </c>
      <c r="H419" t="inlineStr">
        <is>
          <t>true</t>
        </is>
      </c>
      <c r="I419" t="inlineStr">
        <is>
          <t>506</t>
        </is>
      </c>
      <c r="J419" t="inlineStr">
        <is>
          <t>HL7 ValueSet expand (2026-06-09)</t>
        </is>
      </c>
      <c r="K419" t="inlineStr">
        <is>
          <t>false</t>
        </is>
      </c>
    </row>
    <row r="420">
      <c r="A420" t="inlineStr">
        <is>
          <t>Patient.race</t>
        </is>
      </c>
      <c r="B420" t="inlineStr">
        <is>
          <t>urn:oid:2.16.840.1.113883.6.238</t>
        </is>
      </c>
      <c r="C420" t="inlineStr">
        <is>
          <t>1528-9</t>
        </is>
      </c>
      <c r="D420" t="inlineStr">
        <is>
          <t>Sauk-Suiattle</t>
        </is>
      </c>
      <c r="E420" t="inlineStr">
        <is>
          <t>detailed</t>
        </is>
      </c>
      <c r="F420" t="inlineStr">
        <is>
          <t>primary</t>
        </is>
      </c>
      <c r="G420" t="inlineStr">
        <is>
          <t>required</t>
        </is>
      </c>
      <c r="H420" t="inlineStr">
        <is>
          <t>true</t>
        </is>
      </c>
      <c r="I420" t="inlineStr">
        <is>
          <t>507</t>
        </is>
      </c>
      <c r="J420" t="inlineStr">
        <is>
          <t>HL7 ValueSet expand (2026-06-09)</t>
        </is>
      </c>
      <c r="K420" t="inlineStr">
        <is>
          <t>false</t>
        </is>
      </c>
    </row>
    <row r="421">
      <c r="A421" t="inlineStr">
        <is>
          <t>Patient.race</t>
        </is>
      </c>
      <c r="B421" t="inlineStr">
        <is>
          <t>urn:oid:2.16.840.1.113883.6.238</t>
        </is>
      </c>
      <c r="C421" t="inlineStr">
        <is>
          <t>1529-7</t>
        </is>
      </c>
      <c r="D421" t="inlineStr">
        <is>
          <t>Skokomish</t>
        </is>
      </c>
      <c r="E421" t="inlineStr">
        <is>
          <t>detailed</t>
        </is>
      </c>
      <c r="F421" t="inlineStr">
        <is>
          <t>primary</t>
        </is>
      </c>
      <c r="G421" t="inlineStr">
        <is>
          <t>required</t>
        </is>
      </c>
      <c r="H421" t="inlineStr">
        <is>
          <t>true</t>
        </is>
      </c>
      <c r="I421" t="inlineStr">
        <is>
          <t>508</t>
        </is>
      </c>
      <c r="J421" t="inlineStr">
        <is>
          <t>HL7 ValueSet expand (2026-06-09)</t>
        </is>
      </c>
      <c r="K421" t="inlineStr">
        <is>
          <t>false</t>
        </is>
      </c>
    </row>
    <row r="422">
      <c r="A422" t="inlineStr">
        <is>
          <t>Patient.race</t>
        </is>
      </c>
      <c r="B422" t="inlineStr">
        <is>
          <t>urn:oid:2.16.840.1.113883.6.238</t>
        </is>
      </c>
      <c r="C422" t="inlineStr">
        <is>
          <t>1530-5</t>
        </is>
      </c>
      <c r="D422" t="inlineStr">
        <is>
          <t>Skykomish</t>
        </is>
      </c>
      <c r="E422" t="inlineStr">
        <is>
          <t>detailed</t>
        </is>
      </c>
      <c r="F422" t="inlineStr">
        <is>
          <t>primary</t>
        </is>
      </c>
      <c r="G422" t="inlineStr">
        <is>
          <t>required</t>
        </is>
      </c>
      <c r="H422" t="inlineStr">
        <is>
          <t>true</t>
        </is>
      </c>
      <c r="I422" t="inlineStr">
        <is>
          <t>509</t>
        </is>
      </c>
      <c r="J422" t="inlineStr">
        <is>
          <t>HL7 ValueSet expand (2026-06-09)</t>
        </is>
      </c>
      <c r="K422" t="inlineStr">
        <is>
          <t>false</t>
        </is>
      </c>
    </row>
    <row r="423">
      <c r="A423" t="inlineStr">
        <is>
          <t>Patient.race</t>
        </is>
      </c>
      <c r="B423" t="inlineStr">
        <is>
          <t>urn:oid:2.16.840.1.113883.6.238</t>
        </is>
      </c>
      <c r="C423" t="inlineStr">
        <is>
          <t>1531-3</t>
        </is>
      </c>
      <c r="D423" t="inlineStr">
        <is>
          <t>Snohomish</t>
        </is>
      </c>
      <c r="E423" t="inlineStr">
        <is>
          <t>detailed</t>
        </is>
      </c>
      <c r="F423" t="inlineStr">
        <is>
          <t>primary</t>
        </is>
      </c>
      <c r="G423" t="inlineStr">
        <is>
          <t>required</t>
        </is>
      </c>
      <c r="H423" t="inlineStr">
        <is>
          <t>true</t>
        </is>
      </c>
      <c r="I423" t="inlineStr">
        <is>
          <t>510</t>
        </is>
      </c>
      <c r="J423" t="inlineStr">
        <is>
          <t>HL7 ValueSet expand (2026-06-09)</t>
        </is>
      </c>
      <c r="K423" t="inlineStr">
        <is>
          <t>false</t>
        </is>
      </c>
    </row>
    <row r="424">
      <c r="A424" t="inlineStr">
        <is>
          <t>Patient.race</t>
        </is>
      </c>
      <c r="B424" t="inlineStr">
        <is>
          <t>urn:oid:2.16.840.1.113883.6.238</t>
        </is>
      </c>
      <c r="C424" t="inlineStr">
        <is>
          <t>1532-1</t>
        </is>
      </c>
      <c r="D424" t="inlineStr">
        <is>
          <t>Snoqualmie</t>
        </is>
      </c>
      <c r="E424" t="inlineStr">
        <is>
          <t>detailed</t>
        </is>
      </c>
      <c r="F424" t="inlineStr">
        <is>
          <t>primary</t>
        </is>
      </c>
      <c r="G424" t="inlineStr">
        <is>
          <t>required</t>
        </is>
      </c>
      <c r="H424" t="inlineStr">
        <is>
          <t>true</t>
        </is>
      </c>
      <c r="I424" t="inlineStr">
        <is>
          <t>511</t>
        </is>
      </c>
      <c r="J424" t="inlineStr">
        <is>
          <t>HL7 ValueSet expand (2026-06-09)</t>
        </is>
      </c>
      <c r="K424" t="inlineStr">
        <is>
          <t>false</t>
        </is>
      </c>
    </row>
    <row r="425">
      <c r="A425" t="inlineStr">
        <is>
          <t>Patient.race</t>
        </is>
      </c>
      <c r="B425" t="inlineStr">
        <is>
          <t>urn:oid:2.16.840.1.113883.6.238</t>
        </is>
      </c>
      <c r="C425" t="inlineStr">
        <is>
          <t>1533-9</t>
        </is>
      </c>
      <c r="D425" t="inlineStr">
        <is>
          <t>Squaxin Island</t>
        </is>
      </c>
      <c r="E425" t="inlineStr">
        <is>
          <t>detailed</t>
        </is>
      </c>
      <c r="F425" t="inlineStr">
        <is>
          <t>primary</t>
        </is>
      </c>
      <c r="G425" t="inlineStr">
        <is>
          <t>required</t>
        </is>
      </c>
      <c r="H425" t="inlineStr">
        <is>
          <t>true</t>
        </is>
      </c>
      <c r="I425" t="inlineStr">
        <is>
          <t>512</t>
        </is>
      </c>
      <c r="J425" t="inlineStr">
        <is>
          <t>HL7 ValueSet expand (2026-06-09)</t>
        </is>
      </c>
      <c r="K425" t="inlineStr">
        <is>
          <t>false</t>
        </is>
      </c>
    </row>
    <row r="426">
      <c r="A426" t="inlineStr">
        <is>
          <t>Patient.race</t>
        </is>
      </c>
      <c r="B426" t="inlineStr">
        <is>
          <t>urn:oid:2.16.840.1.113883.6.238</t>
        </is>
      </c>
      <c r="C426" t="inlineStr">
        <is>
          <t>1534-7</t>
        </is>
      </c>
      <c r="D426" t="inlineStr">
        <is>
          <t>Steilacoom</t>
        </is>
      </c>
      <c r="E426" t="inlineStr">
        <is>
          <t>detailed</t>
        </is>
      </c>
      <c r="F426" t="inlineStr">
        <is>
          <t>primary</t>
        </is>
      </c>
      <c r="G426" t="inlineStr">
        <is>
          <t>required</t>
        </is>
      </c>
      <c r="H426" t="inlineStr">
        <is>
          <t>true</t>
        </is>
      </c>
      <c r="I426" t="inlineStr">
        <is>
          <t>513</t>
        </is>
      </c>
      <c r="J426" t="inlineStr">
        <is>
          <t>HL7 ValueSet expand (2026-06-09)</t>
        </is>
      </c>
      <c r="K426" t="inlineStr">
        <is>
          <t>false</t>
        </is>
      </c>
    </row>
    <row r="427">
      <c r="A427" t="inlineStr">
        <is>
          <t>Patient.race</t>
        </is>
      </c>
      <c r="B427" t="inlineStr">
        <is>
          <t>urn:oid:2.16.840.1.113883.6.238</t>
        </is>
      </c>
      <c r="C427" t="inlineStr">
        <is>
          <t>1535-4</t>
        </is>
      </c>
      <c r="D427" t="inlineStr">
        <is>
          <t>Stillaguamish</t>
        </is>
      </c>
      <c r="E427" t="inlineStr">
        <is>
          <t>detailed</t>
        </is>
      </c>
      <c r="F427" t="inlineStr">
        <is>
          <t>primary</t>
        </is>
      </c>
      <c r="G427" t="inlineStr">
        <is>
          <t>required</t>
        </is>
      </c>
      <c r="H427" t="inlineStr">
        <is>
          <t>true</t>
        </is>
      </c>
      <c r="I427" t="inlineStr">
        <is>
          <t>514</t>
        </is>
      </c>
      <c r="J427" t="inlineStr">
        <is>
          <t>HL7 ValueSet expand (2026-06-09)</t>
        </is>
      </c>
      <c r="K427" t="inlineStr">
        <is>
          <t>false</t>
        </is>
      </c>
    </row>
    <row r="428">
      <c r="A428" t="inlineStr">
        <is>
          <t>Patient.race</t>
        </is>
      </c>
      <c r="B428" t="inlineStr">
        <is>
          <t>urn:oid:2.16.840.1.113883.6.238</t>
        </is>
      </c>
      <c r="C428" t="inlineStr">
        <is>
          <t>1536-2</t>
        </is>
      </c>
      <c r="D428" t="inlineStr">
        <is>
          <t>Suquamish</t>
        </is>
      </c>
      <c r="E428" t="inlineStr">
        <is>
          <t>detailed</t>
        </is>
      </c>
      <c r="F428" t="inlineStr">
        <is>
          <t>primary</t>
        </is>
      </c>
      <c r="G428" t="inlineStr">
        <is>
          <t>required</t>
        </is>
      </c>
      <c r="H428" t="inlineStr">
        <is>
          <t>true</t>
        </is>
      </c>
      <c r="I428" t="inlineStr">
        <is>
          <t>515</t>
        </is>
      </c>
      <c r="J428" t="inlineStr">
        <is>
          <t>HL7 ValueSet expand (2026-06-09)</t>
        </is>
      </c>
      <c r="K428" t="inlineStr">
        <is>
          <t>false</t>
        </is>
      </c>
    </row>
    <row r="429">
      <c r="A429" t="inlineStr">
        <is>
          <t>Patient.race</t>
        </is>
      </c>
      <c r="B429" t="inlineStr">
        <is>
          <t>urn:oid:2.16.840.1.113883.6.238</t>
        </is>
      </c>
      <c r="C429" t="inlineStr">
        <is>
          <t>1537-0</t>
        </is>
      </c>
      <c r="D429" t="inlineStr">
        <is>
          <t>Swinomish</t>
        </is>
      </c>
      <c r="E429" t="inlineStr">
        <is>
          <t>detailed</t>
        </is>
      </c>
      <c r="F429" t="inlineStr">
        <is>
          <t>primary</t>
        </is>
      </c>
      <c r="G429" t="inlineStr">
        <is>
          <t>required</t>
        </is>
      </c>
      <c r="H429" t="inlineStr">
        <is>
          <t>true</t>
        </is>
      </c>
      <c r="I429" t="inlineStr">
        <is>
          <t>516</t>
        </is>
      </c>
      <c r="J429" t="inlineStr">
        <is>
          <t>HL7 ValueSet expand (2026-06-09)</t>
        </is>
      </c>
      <c r="K429" t="inlineStr">
        <is>
          <t>false</t>
        </is>
      </c>
    </row>
    <row r="430">
      <c r="A430" t="inlineStr">
        <is>
          <t>Patient.race</t>
        </is>
      </c>
      <c r="B430" t="inlineStr">
        <is>
          <t>urn:oid:2.16.840.1.113883.6.238</t>
        </is>
      </c>
      <c r="C430" t="inlineStr">
        <is>
          <t>1538-8</t>
        </is>
      </c>
      <c r="D430" t="inlineStr">
        <is>
          <t>Tulalip</t>
        </is>
      </c>
      <c r="E430" t="inlineStr">
        <is>
          <t>detailed</t>
        </is>
      </c>
      <c r="F430" t="inlineStr">
        <is>
          <t>primary</t>
        </is>
      </c>
      <c r="G430" t="inlineStr">
        <is>
          <t>required</t>
        </is>
      </c>
      <c r="H430" t="inlineStr">
        <is>
          <t>true</t>
        </is>
      </c>
      <c r="I430" t="inlineStr">
        <is>
          <t>517</t>
        </is>
      </c>
      <c r="J430" t="inlineStr">
        <is>
          <t>HL7 ValueSet expand (2026-06-09)</t>
        </is>
      </c>
      <c r="K430" t="inlineStr">
        <is>
          <t>false</t>
        </is>
      </c>
    </row>
    <row r="431">
      <c r="A431" t="inlineStr">
        <is>
          <t>Patient.race</t>
        </is>
      </c>
      <c r="B431" t="inlineStr">
        <is>
          <t>urn:oid:2.16.840.1.113883.6.238</t>
        </is>
      </c>
      <c r="C431" t="inlineStr">
        <is>
          <t>1539-6</t>
        </is>
      </c>
      <c r="D431" t="inlineStr">
        <is>
          <t>Upper Skagit</t>
        </is>
      </c>
      <c r="E431" t="inlineStr">
        <is>
          <t>detailed</t>
        </is>
      </c>
      <c r="F431" t="inlineStr">
        <is>
          <t>primary</t>
        </is>
      </c>
      <c r="G431" t="inlineStr">
        <is>
          <t>required</t>
        </is>
      </c>
      <c r="H431" t="inlineStr">
        <is>
          <t>true</t>
        </is>
      </c>
      <c r="I431" t="inlineStr">
        <is>
          <t>518</t>
        </is>
      </c>
      <c r="J431" t="inlineStr">
        <is>
          <t>HL7 ValueSet expand (2026-06-09)</t>
        </is>
      </c>
      <c r="K431" t="inlineStr">
        <is>
          <t>false</t>
        </is>
      </c>
    </row>
    <row r="432">
      <c r="A432" t="inlineStr">
        <is>
          <t>Patient.race</t>
        </is>
      </c>
      <c r="B432" t="inlineStr">
        <is>
          <t>urn:oid:2.16.840.1.113883.6.238</t>
        </is>
      </c>
      <c r="C432" t="inlineStr">
        <is>
          <t>1541-2</t>
        </is>
      </c>
      <c r="D432" t="inlineStr">
        <is>
          <t>Quapaw</t>
        </is>
      </c>
      <c r="E432" t="inlineStr">
        <is>
          <t>detailed</t>
        </is>
      </c>
      <c r="F432" t="inlineStr">
        <is>
          <t>primary</t>
        </is>
      </c>
      <c r="G432" t="inlineStr">
        <is>
          <t>required</t>
        </is>
      </c>
      <c r="H432" t="inlineStr">
        <is>
          <t>true</t>
        </is>
      </c>
      <c r="I432" t="inlineStr">
        <is>
          <t>519</t>
        </is>
      </c>
      <c r="J432" t="inlineStr">
        <is>
          <t>HL7 ValueSet expand (2026-06-09)</t>
        </is>
      </c>
      <c r="K432" t="inlineStr">
        <is>
          <t>false</t>
        </is>
      </c>
    </row>
    <row r="433">
      <c r="A433" t="inlineStr">
        <is>
          <t>Patient.race</t>
        </is>
      </c>
      <c r="B433" t="inlineStr">
        <is>
          <t>urn:oid:2.16.840.1.113883.6.238</t>
        </is>
      </c>
      <c r="C433" t="inlineStr">
        <is>
          <t>1543-8</t>
        </is>
      </c>
      <c r="D433" t="inlineStr">
        <is>
          <t>Quinault</t>
        </is>
      </c>
      <c r="E433" t="inlineStr">
        <is>
          <t>detailed</t>
        </is>
      </c>
      <c r="F433" t="inlineStr">
        <is>
          <t>primary</t>
        </is>
      </c>
      <c r="G433" t="inlineStr">
        <is>
          <t>required</t>
        </is>
      </c>
      <c r="H433" t="inlineStr">
        <is>
          <t>true</t>
        </is>
      </c>
      <c r="I433" t="inlineStr">
        <is>
          <t>520</t>
        </is>
      </c>
      <c r="J433" t="inlineStr">
        <is>
          <t>HL7 ValueSet expand (2026-06-09)</t>
        </is>
      </c>
      <c r="K433" t="inlineStr">
        <is>
          <t>false</t>
        </is>
      </c>
    </row>
    <row r="434">
      <c r="A434" t="inlineStr">
        <is>
          <t>Patient.race</t>
        </is>
      </c>
      <c r="B434" t="inlineStr">
        <is>
          <t>urn:oid:2.16.840.1.113883.6.238</t>
        </is>
      </c>
      <c r="C434" t="inlineStr">
        <is>
          <t>1545-3</t>
        </is>
      </c>
      <c r="D434" t="inlineStr">
        <is>
          <t>Rappahannock</t>
        </is>
      </c>
      <c r="E434" t="inlineStr">
        <is>
          <t>detailed</t>
        </is>
      </c>
      <c r="F434" t="inlineStr">
        <is>
          <t>primary</t>
        </is>
      </c>
      <c r="G434" t="inlineStr">
        <is>
          <t>required</t>
        </is>
      </c>
      <c r="H434" t="inlineStr">
        <is>
          <t>true</t>
        </is>
      </c>
      <c r="I434" t="inlineStr">
        <is>
          <t>521</t>
        </is>
      </c>
      <c r="J434" t="inlineStr">
        <is>
          <t>HL7 ValueSet expand (2026-06-09)</t>
        </is>
      </c>
      <c r="K434" t="inlineStr">
        <is>
          <t>false</t>
        </is>
      </c>
    </row>
    <row r="435">
      <c r="A435" t="inlineStr">
        <is>
          <t>Patient.race</t>
        </is>
      </c>
      <c r="B435" t="inlineStr">
        <is>
          <t>urn:oid:2.16.840.1.113883.6.238</t>
        </is>
      </c>
      <c r="C435" t="inlineStr">
        <is>
          <t>1547-9</t>
        </is>
      </c>
      <c r="D435" t="inlineStr">
        <is>
          <t>Reno-Sparks</t>
        </is>
      </c>
      <c r="E435" t="inlineStr">
        <is>
          <t>detailed</t>
        </is>
      </c>
      <c r="F435" t="inlineStr">
        <is>
          <t>primary</t>
        </is>
      </c>
      <c r="G435" t="inlineStr">
        <is>
          <t>required</t>
        </is>
      </c>
      <c r="H435" t="inlineStr">
        <is>
          <t>true</t>
        </is>
      </c>
      <c r="I435" t="inlineStr">
        <is>
          <t>522</t>
        </is>
      </c>
      <c r="J435" t="inlineStr">
        <is>
          <t>HL7 ValueSet expand (2026-06-09)</t>
        </is>
      </c>
      <c r="K435" t="inlineStr">
        <is>
          <t>false</t>
        </is>
      </c>
    </row>
    <row r="436">
      <c r="A436" t="inlineStr">
        <is>
          <t>Patient.race</t>
        </is>
      </c>
      <c r="B436" t="inlineStr">
        <is>
          <t>urn:oid:2.16.840.1.113883.6.238</t>
        </is>
      </c>
      <c r="C436" t="inlineStr">
        <is>
          <t>1549-5</t>
        </is>
      </c>
      <c r="D436" t="inlineStr">
        <is>
          <t>Round Valley</t>
        </is>
      </c>
      <c r="E436" t="inlineStr">
        <is>
          <t>detailed</t>
        </is>
      </c>
      <c r="F436" t="inlineStr">
        <is>
          <t>primary</t>
        </is>
      </c>
      <c r="G436" t="inlineStr">
        <is>
          <t>required</t>
        </is>
      </c>
      <c r="H436" t="inlineStr">
        <is>
          <t>true</t>
        </is>
      </c>
      <c r="I436" t="inlineStr">
        <is>
          <t>523</t>
        </is>
      </c>
      <c r="J436" t="inlineStr">
        <is>
          <t>HL7 ValueSet expand (2026-06-09)</t>
        </is>
      </c>
      <c r="K436" t="inlineStr">
        <is>
          <t>false</t>
        </is>
      </c>
    </row>
    <row r="437">
      <c r="A437" t="inlineStr">
        <is>
          <t>Patient.race</t>
        </is>
      </c>
      <c r="B437" t="inlineStr">
        <is>
          <t>urn:oid:2.16.840.1.113883.6.238</t>
        </is>
      </c>
      <c r="C437" t="inlineStr">
        <is>
          <t>1551-1</t>
        </is>
      </c>
      <c r="D437" t="inlineStr">
        <is>
          <t>Sac and Fox</t>
        </is>
      </c>
      <c r="E437" t="inlineStr">
        <is>
          <t>detailed</t>
        </is>
      </c>
      <c r="F437" t="inlineStr">
        <is>
          <t>primary</t>
        </is>
      </c>
      <c r="G437" t="inlineStr">
        <is>
          <t>required</t>
        </is>
      </c>
      <c r="H437" t="inlineStr">
        <is>
          <t>true</t>
        </is>
      </c>
      <c r="I437" t="inlineStr">
        <is>
          <t>524</t>
        </is>
      </c>
      <c r="J437" t="inlineStr">
        <is>
          <t>HL7 ValueSet expand (2026-06-09)</t>
        </is>
      </c>
      <c r="K437" t="inlineStr">
        <is>
          <t>false</t>
        </is>
      </c>
    </row>
    <row r="438">
      <c r="A438" t="inlineStr">
        <is>
          <t>Patient.race</t>
        </is>
      </c>
      <c r="B438" t="inlineStr">
        <is>
          <t>urn:oid:2.16.840.1.113883.6.238</t>
        </is>
      </c>
      <c r="C438" t="inlineStr">
        <is>
          <t>1552-9</t>
        </is>
      </c>
      <c r="D438" t="inlineStr">
        <is>
          <t>Iowa Sac and Fox</t>
        </is>
      </c>
      <c r="E438" t="inlineStr">
        <is>
          <t>detailed</t>
        </is>
      </c>
      <c r="F438" t="inlineStr">
        <is>
          <t>primary</t>
        </is>
      </c>
      <c r="G438" t="inlineStr">
        <is>
          <t>required</t>
        </is>
      </c>
      <c r="H438" t="inlineStr">
        <is>
          <t>true</t>
        </is>
      </c>
      <c r="I438" t="inlineStr">
        <is>
          <t>525</t>
        </is>
      </c>
      <c r="J438" t="inlineStr">
        <is>
          <t>HL7 ValueSet expand (2026-06-09)</t>
        </is>
      </c>
      <c r="K438" t="inlineStr">
        <is>
          <t>false</t>
        </is>
      </c>
    </row>
    <row r="439">
      <c r="A439" t="inlineStr">
        <is>
          <t>Patient.race</t>
        </is>
      </c>
      <c r="B439" t="inlineStr">
        <is>
          <t>urn:oid:2.16.840.1.113883.6.238</t>
        </is>
      </c>
      <c r="C439" t="inlineStr">
        <is>
          <t>1553-7</t>
        </is>
      </c>
      <c r="D439" t="inlineStr">
        <is>
          <t>Missouri Sac and Fox</t>
        </is>
      </c>
      <c r="E439" t="inlineStr">
        <is>
          <t>detailed</t>
        </is>
      </c>
      <c r="F439" t="inlineStr">
        <is>
          <t>primary</t>
        </is>
      </c>
      <c r="G439" t="inlineStr">
        <is>
          <t>required</t>
        </is>
      </c>
      <c r="H439" t="inlineStr">
        <is>
          <t>true</t>
        </is>
      </c>
      <c r="I439" t="inlineStr">
        <is>
          <t>526</t>
        </is>
      </c>
      <c r="J439" t="inlineStr">
        <is>
          <t>HL7 ValueSet expand (2026-06-09)</t>
        </is>
      </c>
      <c r="K439" t="inlineStr">
        <is>
          <t>false</t>
        </is>
      </c>
    </row>
    <row r="440">
      <c r="A440" t="inlineStr">
        <is>
          <t>Patient.race</t>
        </is>
      </c>
      <c r="B440" t="inlineStr">
        <is>
          <t>urn:oid:2.16.840.1.113883.6.238</t>
        </is>
      </c>
      <c r="C440" t="inlineStr">
        <is>
          <t>1554-5</t>
        </is>
      </c>
      <c r="D440" t="inlineStr">
        <is>
          <t>Oklahoma Sac and Fox</t>
        </is>
      </c>
      <c r="E440" t="inlineStr">
        <is>
          <t>detailed</t>
        </is>
      </c>
      <c r="F440" t="inlineStr">
        <is>
          <t>primary</t>
        </is>
      </c>
      <c r="G440" t="inlineStr">
        <is>
          <t>required</t>
        </is>
      </c>
      <c r="H440" t="inlineStr">
        <is>
          <t>true</t>
        </is>
      </c>
      <c r="I440" t="inlineStr">
        <is>
          <t>527</t>
        </is>
      </c>
      <c r="J440" t="inlineStr">
        <is>
          <t>HL7 ValueSet expand (2026-06-09)</t>
        </is>
      </c>
      <c r="K440" t="inlineStr">
        <is>
          <t>false</t>
        </is>
      </c>
    </row>
    <row r="441">
      <c r="A441" t="inlineStr">
        <is>
          <t>Patient.race</t>
        </is>
      </c>
      <c r="B441" t="inlineStr">
        <is>
          <t>urn:oid:2.16.840.1.113883.6.238</t>
        </is>
      </c>
      <c r="C441" t="inlineStr">
        <is>
          <t>1556-0</t>
        </is>
      </c>
      <c r="D441" t="inlineStr">
        <is>
          <t>Salinan</t>
        </is>
      </c>
      <c r="E441" t="inlineStr">
        <is>
          <t>detailed</t>
        </is>
      </c>
      <c r="F441" t="inlineStr">
        <is>
          <t>primary</t>
        </is>
      </c>
      <c r="G441" t="inlineStr">
        <is>
          <t>required</t>
        </is>
      </c>
      <c r="H441" t="inlineStr">
        <is>
          <t>true</t>
        </is>
      </c>
      <c r="I441" t="inlineStr">
        <is>
          <t>528</t>
        </is>
      </c>
      <c r="J441" t="inlineStr">
        <is>
          <t>HL7 ValueSet expand (2026-06-09)</t>
        </is>
      </c>
      <c r="K441" t="inlineStr">
        <is>
          <t>false</t>
        </is>
      </c>
    </row>
    <row r="442">
      <c r="A442" t="inlineStr">
        <is>
          <t>Patient.race</t>
        </is>
      </c>
      <c r="B442" t="inlineStr">
        <is>
          <t>urn:oid:2.16.840.1.113883.6.238</t>
        </is>
      </c>
      <c r="C442" t="inlineStr">
        <is>
          <t>1558-6</t>
        </is>
      </c>
      <c r="D442" t="inlineStr">
        <is>
          <t>Salish</t>
        </is>
      </c>
      <c r="E442" t="inlineStr">
        <is>
          <t>detailed</t>
        </is>
      </c>
      <c r="F442" t="inlineStr">
        <is>
          <t>primary</t>
        </is>
      </c>
      <c r="G442" t="inlineStr">
        <is>
          <t>required</t>
        </is>
      </c>
      <c r="H442" t="inlineStr">
        <is>
          <t>true</t>
        </is>
      </c>
      <c r="I442" t="inlineStr">
        <is>
          <t>529</t>
        </is>
      </c>
      <c r="J442" t="inlineStr">
        <is>
          <t>HL7 ValueSet expand (2026-06-09)</t>
        </is>
      </c>
      <c r="K442" t="inlineStr">
        <is>
          <t>false</t>
        </is>
      </c>
    </row>
    <row r="443">
      <c r="A443" t="inlineStr">
        <is>
          <t>Patient.race</t>
        </is>
      </c>
      <c r="B443" t="inlineStr">
        <is>
          <t>urn:oid:2.16.840.1.113883.6.238</t>
        </is>
      </c>
      <c r="C443" t="inlineStr">
        <is>
          <t>1560-2</t>
        </is>
      </c>
      <c r="D443" t="inlineStr">
        <is>
          <t>Salish and Kootenai</t>
        </is>
      </c>
      <c r="E443" t="inlineStr">
        <is>
          <t>detailed</t>
        </is>
      </c>
      <c r="F443" t="inlineStr">
        <is>
          <t>primary</t>
        </is>
      </c>
      <c r="G443" t="inlineStr">
        <is>
          <t>required</t>
        </is>
      </c>
      <c r="H443" t="inlineStr">
        <is>
          <t>true</t>
        </is>
      </c>
      <c r="I443" t="inlineStr">
        <is>
          <t>530</t>
        </is>
      </c>
      <c r="J443" t="inlineStr">
        <is>
          <t>HL7 ValueSet expand (2026-06-09)</t>
        </is>
      </c>
      <c r="K443" t="inlineStr">
        <is>
          <t>false</t>
        </is>
      </c>
    </row>
    <row r="444">
      <c r="A444" t="inlineStr">
        <is>
          <t>Patient.race</t>
        </is>
      </c>
      <c r="B444" t="inlineStr">
        <is>
          <t>urn:oid:2.16.840.1.113883.6.238</t>
        </is>
      </c>
      <c r="C444" t="inlineStr">
        <is>
          <t>1562-8</t>
        </is>
      </c>
      <c r="D444" t="inlineStr">
        <is>
          <t>Schaghticoke</t>
        </is>
      </c>
      <c r="E444" t="inlineStr">
        <is>
          <t>detailed</t>
        </is>
      </c>
      <c r="F444" t="inlineStr">
        <is>
          <t>primary</t>
        </is>
      </c>
      <c r="G444" t="inlineStr">
        <is>
          <t>required</t>
        </is>
      </c>
      <c r="H444" t="inlineStr">
        <is>
          <t>true</t>
        </is>
      </c>
      <c r="I444" t="inlineStr">
        <is>
          <t>531</t>
        </is>
      </c>
      <c r="J444" t="inlineStr">
        <is>
          <t>HL7 ValueSet expand (2026-06-09)</t>
        </is>
      </c>
      <c r="K444" t="inlineStr">
        <is>
          <t>false</t>
        </is>
      </c>
    </row>
    <row r="445">
      <c r="A445" t="inlineStr">
        <is>
          <t>Patient.race</t>
        </is>
      </c>
      <c r="B445" t="inlineStr">
        <is>
          <t>urn:oid:2.16.840.1.113883.6.238</t>
        </is>
      </c>
      <c r="C445" t="inlineStr">
        <is>
          <t>1564-4</t>
        </is>
      </c>
      <c r="D445" t="inlineStr">
        <is>
          <t>Scott Valley</t>
        </is>
      </c>
      <c r="E445" t="inlineStr">
        <is>
          <t>detailed</t>
        </is>
      </c>
      <c r="F445" t="inlineStr">
        <is>
          <t>primary</t>
        </is>
      </c>
      <c r="G445" t="inlineStr">
        <is>
          <t>required</t>
        </is>
      </c>
      <c r="H445" t="inlineStr">
        <is>
          <t>true</t>
        </is>
      </c>
      <c r="I445" t="inlineStr">
        <is>
          <t>532</t>
        </is>
      </c>
      <c r="J445" t="inlineStr">
        <is>
          <t>HL7 ValueSet expand (2026-06-09)</t>
        </is>
      </c>
      <c r="K445" t="inlineStr">
        <is>
          <t>false</t>
        </is>
      </c>
    </row>
    <row r="446">
      <c r="A446" t="inlineStr">
        <is>
          <t>Patient.race</t>
        </is>
      </c>
      <c r="B446" t="inlineStr">
        <is>
          <t>urn:oid:2.16.840.1.113883.6.238</t>
        </is>
      </c>
      <c r="C446" t="inlineStr">
        <is>
          <t>1566-9</t>
        </is>
      </c>
      <c r="D446" t="inlineStr">
        <is>
          <t>Seminole</t>
        </is>
      </c>
      <c r="E446" t="inlineStr">
        <is>
          <t>detailed</t>
        </is>
      </c>
      <c r="F446" t="inlineStr">
        <is>
          <t>primary</t>
        </is>
      </c>
      <c r="G446" t="inlineStr">
        <is>
          <t>required</t>
        </is>
      </c>
      <c r="H446" t="inlineStr">
        <is>
          <t>true</t>
        </is>
      </c>
      <c r="I446" t="inlineStr">
        <is>
          <t>533</t>
        </is>
      </c>
      <c r="J446" t="inlineStr">
        <is>
          <t>HL7 ValueSet expand (2026-06-09)</t>
        </is>
      </c>
      <c r="K446" t="inlineStr">
        <is>
          <t>false</t>
        </is>
      </c>
    </row>
    <row r="447">
      <c r="A447" t="inlineStr">
        <is>
          <t>Patient.race</t>
        </is>
      </c>
      <c r="B447" t="inlineStr">
        <is>
          <t>urn:oid:2.16.840.1.113883.6.238</t>
        </is>
      </c>
      <c r="C447" t="inlineStr">
        <is>
          <t>1567-7</t>
        </is>
      </c>
      <c r="D447" t="inlineStr">
        <is>
          <t>Big Cypress</t>
        </is>
      </c>
      <c r="E447" t="inlineStr">
        <is>
          <t>detailed</t>
        </is>
      </c>
      <c r="F447" t="inlineStr">
        <is>
          <t>primary</t>
        </is>
      </c>
      <c r="G447" t="inlineStr">
        <is>
          <t>required</t>
        </is>
      </c>
      <c r="H447" t="inlineStr">
        <is>
          <t>true</t>
        </is>
      </c>
      <c r="I447" t="inlineStr">
        <is>
          <t>534</t>
        </is>
      </c>
      <c r="J447" t="inlineStr">
        <is>
          <t>HL7 ValueSet expand (2026-06-09)</t>
        </is>
      </c>
      <c r="K447" t="inlineStr">
        <is>
          <t>false</t>
        </is>
      </c>
    </row>
    <row r="448">
      <c r="A448" t="inlineStr">
        <is>
          <t>Patient.race</t>
        </is>
      </c>
      <c r="B448" t="inlineStr">
        <is>
          <t>urn:oid:2.16.840.1.113883.6.238</t>
        </is>
      </c>
      <c r="C448" t="inlineStr">
        <is>
          <t>1568-5</t>
        </is>
      </c>
      <c r="D448" t="inlineStr">
        <is>
          <t>Brighton</t>
        </is>
      </c>
      <c r="E448" t="inlineStr">
        <is>
          <t>detailed</t>
        </is>
      </c>
      <c r="F448" t="inlineStr">
        <is>
          <t>primary</t>
        </is>
      </c>
      <c r="G448" t="inlineStr">
        <is>
          <t>required</t>
        </is>
      </c>
      <c r="H448" t="inlineStr">
        <is>
          <t>true</t>
        </is>
      </c>
      <c r="I448" t="inlineStr">
        <is>
          <t>535</t>
        </is>
      </c>
      <c r="J448" t="inlineStr">
        <is>
          <t>HL7 ValueSet expand (2026-06-09)</t>
        </is>
      </c>
      <c r="K448" t="inlineStr">
        <is>
          <t>false</t>
        </is>
      </c>
    </row>
    <row r="449">
      <c r="A449" t="inlineStr">
        <is>
          <t>Patient.race</t>
        </is>
      </c>
      <c r="B449" t="inlineStr">
        <is>
          <t>urn:oid:2.16.840.1.113883.6.238</t>
        </is>
      </c>
      <c r="C449" t="inlineStr">
        <is>
          <t>1569-3</t>
        </is>
      </c>
      <c r="D449" t="inlineStr">
        <is>
          <t>Florida Seminole</t>
        </is>
      </c>
      <c r="E449" t="inlineStr">
        <is>
          <t>detailed</t>
        </is>
      </c>
      <c r="F449" t="inlineStr">
        <is>
          <t>primary</t>
        </is>
      </c>
      <c r="G449" t="inlineStr">
        <is>
          <t>required</t>
        </is>
      </c>
      <c r="H449" t="inlineStr">
        <is>
          <t>true</t>
        </is>
      </c>
      <c r="I449" t="inlineStr">
        <is>
          <t>536</t>
        </is>
      </c>
      <c r="J449" t="inlineStr">
        <is>
          <t>HL7 ValueSet expand (2026-06-09)</t>
        </is>
      </c>
      <c r="K449" t="inlineStr">
        <is>
          <t>false</t>
        </is>
      </c>
    </row>
    <row r="450">
      <c r="A450" t="inlineStr">
        <is>
          <t>Patient.race</t>
        </is>
      </c>
      <c r="B450" t="inlineStr">
        <is>
          <t>urn:oid:2.16.840.1.113883.6.238</t>
        </is>
      </c>
      <c r="C450" t="inlineStr">
        <is>
          <t>1570-1</t>
        </is>
      </c>
      <c r="D450" t="inlineStr">
        <is>
          <t>Hollywood Seminole</t>
        </is>
      </c>
      <c r="E450" t="inlineStr">
        <is>
          <t>detailed</t>
        </is>
      </c>
      <c r="F450" t="inlineStr">
        <is>
          <t>primary</t>
        </is>
      </c>
      <c r="G450" t="inlineStr">
        <is>
          <t>required</t>
        </is>
      </c>
      <c r="H450" t="inlineStr">
        <is>
          <t>true</t>
        </is>
      </c>
      <c r="I450" t="inlineStr">
        <is>
          <t>537</t>
        </is>
      </c>
      <c r="J450" t="inlineStr">
        <is>
          <t>HL7 ValueSet expand (2026-06-09)</t>
        </is>
      </c>
      <c r="K450" t="inlineStr">
        <is>
          <t>false</t>
        </is>
      </c>
    </row>
    <row r="451">
      <c r="A451" t="inlineStr">
        <is>
          <t>Patient.race</t>
        </is>
      </c>
      <c r="B451" t="inlineStr">
        <is>
          <t>urn:oid:2.16.840.1.113883.6.238</t>
        </is>
      </c>
      <c r="C451" t="inlineStr">
        <is>
          <t>1571-9</t>
        </is>
      </c>
      <c r="D451" t="inlineStr">
        <is>
          <t>Oklahoma Seminole</t>
        </is>
      </c>
      <c r="E451" t="inlineStr">
        <is>
          <t>detailed</t>
        </is>
      </c>
      <c r="F451" t="inlineStr">
        <is>
          <t>primary</t>
        </is>
      </c>
      <c r="G451" t="inlineStr">
        <is>
          <t>required</t>
        </is>
      </c>
      <c r="H451" t="inlineStr">
        <is>
          <t>true</t>
        </is>
      </c>
      <c r="I451" t="inlineStr">
        <is>
          <t>538</t>
        </is>
      </c>
      <c r="J451" t="inlineStr">
        <is>
          <t>HL7 ValueSet expand (2026-06-09)</t>
        </is>
      </c>
      <c r="K451" t="inlineStr">
        <is>
          <t>false</t>
        </is>
      </c>
    </row>
    <row r="452">
      <c r="A452" t="inlineStr">
        <is>
          <t>Patient.race</t>
        </is>
      </c>
      <c r="B452" t="inlineStr">
        <is>
          <t>urn:oid:2.16.840.1.113883.6.238</t>
        </is>
      </c>
      <c r="C452" t="inlineStr">
        <is>
          <t>1573-5</t>
        </is>
      </c>
      <c r="D452" t="inlineStr">
        <is>
          <t>Serrano</t>
        </is>
      </c>
      <c r="E452" t="inlineStr">
        <is>
          <t>detailed</t>
        </is>
      </c>
      <c r="F452" t="inlineStr">
        <is>
          <t>primary</t>
        </is>
      </c>
      <c r="G452" t="inlineStr">
        <is>
          <t>required</t>
        </is>
      </c>
      <c r="H452" t="inlineStr">
        <is>
          <t>true</t>
        </is>
      </c>
      <c r="I452" t="inlineStr">
        <is>
          <t>539</t>
        </is>
      </c>
      <c r="J452" t="inlineStr">
        <is>
          <t>HL7 ValueSet expand (2026-06-09)</t>
        </is>
      </c>
      <c r="K452" t="inlineStr">
        <is>
          <t>false</t>
        </is>
      </c>
    </row>
    <row r="453">
      <c r="A453" t="inlineStr">
        <is>
          <t>Patient.race</t>
        </is>
      </c>
      <c r="B453" t="inlineStr">
        <is>
          <t>urn:oid:2.16.840.1.113883.6.238</t>
        </is>
      </c>
      <c r="C453" t="inlineStr">
        <is>
          <t>1574-3</t>
        </is>
      </c>
      <c r="D453" t="inlineStr">
        <is>
          <t>San Manual</t>
        </is>
      </c>
      <c r="E453" t="inlineStr">
        <is>
          <t>detailed</t>
        </is>
      </c>
      <c r="F453" t="inlineStr">
        <is>
          <t>primary</t>
        </is>
      </c>
      <c r="G453" t="inlineStr">
        <is>
          <t>required</t>
        </is>
      </c>
      <c r="H453" t="inlineStr">
        <is>
          <t>true</t>
        </is>
      </c>
      <c r="I453" t="inlineStr">
        <is>
          <t>540</t>
        </is>
      </c>
      <c r="J453" t="inlineStr">
        <is>
          <t>HL7 ValueSet expand (2026-06-09)</t>
        </is>
      </c>
      <c r="K453" t="inlineStr">
        <is>
          <t>false</t>
        </is>
      </c>
    </row>
    <row r="454">
      <c r="A454" t="inlineStr">
        <is>
          <t>Patient.race</t>
        </is>
      </c>
      <c r="B454" t="inlineStr">
        <is>
          <t>urn:oid:2.16.840.1.113883.6.238</t>
        </is>
      </c>
      <c r="C454" t="inlineStr">
        <is>
          <t>1576-8</t>
        </is>
      </c>
      <c r="D454" t="inlineStr">
        <is>
          <t>Shasta</t>
        </is>
      </c>
      <c r="E454" t="inlineStr">
        <is>
          <t>detailed</t>
        </is>
      </c>
      <c r="F454" t="inlineStr">
        <is>
          <t>primary</t>
        </is>
      </c>
      <c r="G454" t="inlineStr">
        <is>
          <t>required</t>
        </is>
      </c>
      <c r="H454" t="inlineStr">
        <is>
          <t>true</t>
        </is>
      </c>
      <c r="I454" t="inlineStr">
        <is>
          <t>541</t>
        </is>
      </c>
      <c r="J454" t="inlineStr">
        <is>
          <t>HL7 ValueSet expand (2026-06-09)</t>
        </is>
      </c>
      <c r="K454" t="inlineStr">
        <is>
          <t>false</t>
        </is>
      </c>
    </row>
    <row r="455">
      <c r="A455" t="inlineStr">
        <is>
          <t>Patient.race</t>
        </is>
      </c>
      <c r="B455" t="inlineStr">
        <is>
          <t>urn:oid:2.16.840.1.113883.6.238</t>
        </is>
      </c>
      <c r="C455" t="inlineStr">
        <is>
          <t>1578-4</t>
        </is>
      </c>
      <c r="D455" t="inlineStr">
        <is>
          <t>Shawnee</t>
        </is>
      </c>
      <c r="E455" t="inlineStr">
        <is>
          <t>detailed</t>
        </is>
      </c>
      <c r="F455" t="inlineStr">
        <is>
          <t>primary</t>
        </is>
      </c>
      <c r="G455" t="inlineStr">
        <is>
          <t>required</t>
        </is>
      </c>
      <c r="H455" t="inlineStr">
        <is>
          <t>true</t>
        </is>
      </c>
      <c r="I455" t="inlineStr">
        <is>
          <t>542</t>
        </is>
      </c>
      <c r="J455" t="inlineStr">
        <is>
          <t>HL7 ValueSet expand (2026-06-09)</t>
        </is>
      </c>
      <c r="K455" t="inlineStr">
        <is>
          <t>false</t>
        </is>
      </c>
    </row>
    <row r="456">
      <c r="A456" t="inlineStr">
        <is>
          <t>Patient.race</t>
        </is>
      </c>
      <c r="B456" t="inlineStr">
        <is>
          <t>urn:oid:2.16.840.1.113883.6.238</t>
        </is>
      </c>
      <c r="C456" t="inlineStr">
        <is>
          <t>1579-2</t>
        </is>
      </c>
      <c r="D456" t="inlineStr">
        <is>
          <t>Absentee Shawnee</t>
        </is>
      </c>
      <c r="E456" t="inlineStr">
        <is>
          <t>detailed</t>
        </is>
      </c>
      <c r="F456" t="inlineStr">
        <is>
          <t>primary</t>
        </is>
      </c>
      <c r="G456" t="inlineStr">
        <is>
          <t>required</t>
        </is>
      </c>
      <c r="H456" t="inlineStr">
        <is>
          <t>true</t>
        </is>
      </c>
      <c r="I456" t="inlineStr">
        <is>
          <t>543</t>
        </is>
      </c>
      <c r="J456" t="inlineStr">
        <is>
          <t>HL7 ValueSet expand (2026-06-09)</t>
        </is>
      </c>
      <c r="K456" t="inlineStr">
        <is>
          <t>false</t>
        </is>
      </c>
    </row>
    <row r="457">
      <c r="A457" t="inlineStr">
        <is>
          <t>Patient.race</t>
        </is>
      </c>
      <c r="B457" t="inlineStr">
        <is>
          <t>urn:oid:2.16.840.1.113883.6.238</t>
        </is>
      </c>
      <c r="C457" t="inlineStr">
        <is>
          <t>1580-0</t>
        </is>
      </c>
      <c r="D457" t="inlineStr">
        <is>
          <t>Eastern Shawnee</t>
        </is>
      </c>
      <c r="E457" t="inlineStr">
        <is>
          <t>detailed</t>
        </is>
      </c>
      <c r="F457" t="inlineStr">
        <is>
          <t>primary</t>
        </is>
      </c>
      <c r="G457" t="inlineStr">
        <is>
          <t>required</t>
        </is>
      </c>
      <c r="H457" t="inlineStr">
        <is>
          <t>true</t>
        </is>
      </c>
      <c r="I457" t="inlineStr">
        <is>
          <t>544</t>
        </is>
      </c>
      <c r="J457" t="inlineStr">
        <is>
          <t>HL7 ValueSet expand (2026-06-09)</t>
        </is>
      </c>
      <c r="K457" t="inlineStr">
        <is>
          <t>false</t>
        </is>
      </c>
    </row>
    <row r="458">
      <c r="A458" t="inlineStr">
        <is>
          <t>Patient.race</t>
        </is>
      </c>
      <c r="B458" t="inlineStr">
        <is>
          <t>urn:oid:2.16.840.1.113883.6.238</t>
        </is>
      </c>
      <c r="C458" t="inlineStr">
        <is>
          <t>1582-6</t>
        </is>
      </c>
      <c r="D458" t="inlineStr">
        <is>
          <t>Shinnecock</t>
        </is>
      </c>
      <c r="E458" t="inlineStr">
        <is>
          <t>detailed</t>
        </is>
      </c>
      <c r="F458" t="inlineStr">
        <is>
          <t>primary</t>
        </is>
      </c>
      <c r="G458" t="inlineStr">
        <is>
          <t>required</t>
        </is>
      </c>
      <c r="H458" t="inlineStr">
        <is>
          <t>true</t>
        </is>
      </c>
      <c r="I458" t="inlineStr">
        <is>
          <t>545</t>
        </is>
      </c>
      <c r="J458" t="inlineStr">
        <is>
          <t>HL7 ValueSet expand (2026-06-09)</t>
        </is>
      </c>
      <c r="K458" t="inlineStr">
        <is>
          <t>false</t>
        </is>
      </c>
    </row>
    <row r="459">
      <c r="A459" t="inlineStr">
        <is>
          <t>Patient.race</t>
        </is>
      </c>
      <c r="B459" t="inlineStr">
        <is>
          <t>urn:oid:2.16.840.1.113883.6.238</t>
        </is>
      </c>
      <c r="C459" t="inlineStr">
        <is>
          <t>1584-2</t>
        </is>
      </c>
      <c r="D459" t="inlineStr">
        <is>
          <t>Shoalwater Bay</t>
        </is>
      </c>
      <c r="E459" t="inlineStr">
        <is>
          <t>detailed</t>
        </is>
      </c>
      <c r="F459" t="inlineStr">
        <is>
          <t>primary</t>
        </is>
      </c>
      <c r="G459" t="inlineStr">
        <is>
          <t>required</t>
        </is>
      </c>
      <c r="H459" t="inlineStr">
        <is>
          <t>true</t>
        </is>
      </c>
      <c r="I459" t="inlineStr">
        <is>
          <t>546</t>
        </is>
      </c>
      <c r="J459" t="inlineStr">
        <is>
          <t>HL7 ValueSet expand (2026-06-09)</t>
        </is>
      </c>
      <c r="K459" t="inlineStr">
        <is>
          <t>false</t>
        </is>
      </c>
    </row>
    <row r="460">
      <c r="A460" t="inlineStr">
        <is>
          <t>Patient.race</t>
        </is>
      </c>
      <c r="B460" t="inlineStr">
        <is>
          <t>urn:oid:2.16.840.1.113883.6.238</t>
        </is>
      </c>
      <c r="C460" t="inlineStr">
        <is>
          <t>1586-7</t>
        </is>
      </c>
      <c r="D460" t="inlineStr">
        <is>
          <t>Shoshone</t>
        </is>
      </c>
      <c r="E460" t="inlineStr">
        <is>
          <t>detailed</t>
        </is>
      </c>
      <c r="F460" t="inlineStr">
        <is>
          <t>primary</t>
        </is>
      </c>
      <c r="G460" t="inlineStr">
        <is>
          <t>required</t>
        </is>
      </c>
      <c r="H460" t="inlineStr">
        <is>
          <t>true</t>
        </is>
      </c>
      <c r="I460" t="inlineStr">
        <is>
          <t>547</t>
        </is>
      </c>
      <c r="J460" t="inlineStr">
        <is>
          <t>HL7 ValueSet expand (2026-06-09)</t>
        </is>
      </c>
      <c r="K460" t="inlineStr">
        <is>
          <t>false</t>
        </is>
      </c>
    </row>
    <row r="461">
      <c r="A461" t="inlineStr">
        <is>
          <t>Patient.race</t>
        </is>
      </c>
      <c r="B461" t="inlineStr">
        <is>
          <t>urn:oid:2.16.840.1.113883.6.238</t>
        </is>
      </c>
      <c r="C461" t="inlineStr">
        <is>
          <t>1587-5</t>
        </is>
      </c>
      <c r="D461" t="inlineStr">
        <is>
          <t>Battle Mountain</t>
        </is>
      </c>
      <c r="E461" t="inlineStr">
        <is>
          <t>detailed</t>
        </is>
      </c>
      <c r="F461" t="inlineStr">
        <is>
          <t>primary</t>
        </is>
      </c>
      <c r="G461" t="inlineStr">
        <is>
          <t>required</t>
        </is>
      </c>
      <c r="H461" t="inlineStr">
        <is>
          <t>true</t>
        </is>
      </c>
      <c r="I461" t="inlineStr">
        <is>
          <t>548</t>
        </is>
      </c>
      <c r="J461" t="inlineStr">
        <is>
          <t>HL7 ValueSet expand (2026-06-09)</t>
        </is>
      </c>
      <c r="K461" t="inlineStr">
        <is>
          <t>false</t>
        </is>
      </c>
    </row>
    <row r="462">
      <c r="A462" t="inlineStr">
        <is>
          <t>Patient.race</t>
        </is>
      </c>
      <c r="B462" t="inlineStr">
        <is>
          <t>urn:oid:2.16.840.1.113883.6.238</t>
        </is>
      </c>
      <c r="C462" t="inlineStr">
        <is>
          <t>1588-3</t>
        </is>
      </c>
      <c r="D462" t="inlineStr">
        <is>
          <t>Duckwater</t>
        </is>
      </c>
      <c r="E462" t="inlineStr">
        <is>
          <t>detailed</t>
        </is>
      </c>
      <c r="F462" t="inlineStr">
        <is>
          <t>primary</t>
        </is>
      </c>
      <c r="G462" t="inlineStr">
        <is>
          <t>required</t>
        </is>
      </c>
      <c r="H462" t="inlineStr">
        <is>
          <t>true</t>
        </is>
      </c>
      <c r="I462" t="inlineStr">
        <is>
          <t>549</t>
        </is>
      </c>
      <c r="J462" t="inlineStr">
        <is>
          <t>HL7 ValueSet expand (2026-06-09)</t>
        </is>
      </c>
      <c r="K462" t="inlineStr">
        <is>
          <t>false</t>
        </is>
      </c>
    </row>
    <row r="463">
      <c r="A463" t="inlineStr">
        <is>
          <t>Patient.race</t>
        </is>
      </c>
      <c r="B463" t="inlineStr">
        <is>
          <t>urn:oid:2.16.840.1.113883.6.238</t>
        </is>
      </c>
      <c r="C463" t="inlineStr">
        <is>
          <t>1589-1</t>
        </is>
      </c>
      <c r="D463" t="inlineStr">
        <is>
          <t>Elko</t>
        </is>
      </c>
      <c r="E463" t="inlineStr">
        <is>
          <t>detailed</t>
        </is>
      </c>
      <c r="F463" t="inlineStr">
        <is>
          <t>primary</t>
        </is>
      </c>
      <c r="G463" t="inlineStr">
        <is>
          <t>required</t>
        </is>
      </c>
      <c r="H463" t="inlineStr">
        <is>
          <t>true</t>
        </is>
      </c>
      <c r="I463" t="inlineStr">
        <is>
          <t>550</t>
        </is>
      </c>
      <c r="J463" t="inlineStr">
        <is>
          <t>HL7 ValueSet expand (2026-06-09)</t>
        </is>
      </c>
      <c r="K463" t="inlineStr">
        <is>
          <t>false</t>
        </is>
      </c>
    </row>
    <row r="464">
      <c r="A464" t="inlineStr">
        <is>
          <t>Patient.race</t>
        </is>
      </c>
      <c r="B464" t="inlineStr">
        <is>
          <t>urn:oid:2.16.840.1.113883.6.238</t>
        </is>
      </c>
      <c r="C464" t="inlineStr">
        <is>
          <t>1590-9</t>
        </is>
      </c>
      <c r="D464" t="inlineStr">
        <is>
          <t>Ely</t>
        </is>
      </c>
      <c r="E464" t="inlineStr">
        <is>
          <t>detailed</t>
        </is>
      </c>
      <c r="F464" t="inlineStr">
        <is>
          <t>primary</t>
        </is>
      </c>
      <c r="G464" t="inlineStr">
        <is>
          <t>required</t>
        </is>
      </c>
      <c r="H464" t="inlineStr">
        <is>
          <t>true</t>
        </is>
      </c>
      <c r="I464" t="inlineStr">
        <is>
          <t>551</t>
        </is>
      </c>
      <c r="J464" t="inlineStr">
        <is>
          <t>HL7 ValueSet expand (2026-06-09)</t>
        </is>
      </c>
      <c r="K464" t="inlineStr">
        <is>
          <t>false</t>
        </is>
      </c>
    </row>
    <row r="465">
      <c r="A465" t="inlineStr">
        <is>
          <t>Patient.race</t>
        </is>
      </c>
      <c r="B465" t="inlineStr">
        <is>
          <t>urn:oid:2.16.840.1.113883.6.238</t>
        </is>
      </c>
      <c r="C465" t="inlineStr">
        <is>
          <t>1591-7</t>
        </is>
      </c>
      <c r="D465" t="inlineStr">
        <is>
          <t>Goshute</t>
        </is>
      </c>
      <c r="E465" t="inlineStr">
        <is>
          <t>detailed</t>
        </is>
      </c>
      <c r="F465" t="inlineStr">
        <is>
          <t>primary</t>
        </is>
      </c>
      <c r="G465" t="inlineStr">
        <is>
          <t>required</t>
        </is>
      </c>
      <c r="H465" t="inlineStr">
        <is>
          <t>true</t>
        </is>
      </c>
      <c r="I465" t="inlineStr">
        <is>
          <t>552</t>
        </is>
      </c>
      <c r="J465" t="inlineStr">
        <is>
          <t>HL7 ValueSet expand (2026-06-09)</t>
        </is>
      </c>
      <c r="K465" t="inlineStr">
        <is>
          <t>false</t>
        </is>
      </c>
    </row>
    <row r="466">
      <c r="A466" t="inlineStr">
        <is>
          <t>Patient.race</t>
        </is>
      </c>
      <c r="B466" t="inlineStr">
        <is>
          <t>urn:oid:2.16.840.1.113883.6.238</t>
        </is>
      </c>
      <c r="C466" t="inlineStr">
        <is>
          <t>1592-5</t>
        </is>
      </c>
      <c r="D466" t="inlineStr">
        <is>
          <t>Panamint</t>
        </is>
      </c>
      <c r="E466" t="inlineStr">
        <is>
          <t>detailed</t>
        </is>
      </c>
      <c r="F466" t="inlineStr">
        <is>
          <t>primary</t>
        </is>
      </c>
      <c r="G466" t="inlineStr">
        <is>
          <t>required</t>
        </is>
      </c>
      <c r="H466" t="inlineStr">
        <is>
          <t>true</t>
        </is>
      </c>
      <c r="I466" t="inlineStr">
        <is>
          <t>553</t>
        </is>
      </c>
      <c r="J466" t="inlineStr">
        <is>
          <t>HL7 ValueSet expand (2026-06-09)</t>
        </is>
      </c>
      <c r="K466" t="inlineStr">
        <is>
          <t>false</t>
        </is>
      </c>
    </row>
    <row r="467">
      <c r="A467" t="inlineStr">
        <is>
          <t>Patient.race</t>
        </is>
      </c>
      <c r="B467" t="inlineStr">
        <is>
          <t>urn:oid:2.16.840.1.113883.6.238</t>
        </is>
      </c>
      <c r="C467" t="inlineStr">
        <is>
          <t>1593-3</t>
        </is>
      </c>
      <c r="D467" t="inlineStr">
        <is>
          <t>Ruby Valley</t>
        </is>
      </c>
      <c r="E467" t="inlineStr">
        <is>
          <t>detailed</t>
        </is>
      </c>
      <c r="F467" t="inlineStr">
        <is>
          <t>primary</t>
        </is>
      </c>
      <c r="G467" t="inlineStr">
        <is>
          <t>required</t>
        </is>
      </c>
      <c r="H467" t="inlineStr">
        <is>
          <t>true</t>
        </is>
      </c>
      <c r="I467" t="inlineStr">
        <is>
          <t>554</t>
        </is>
      </c>
      <c r="J467" t="inlineStr">
        <is>
          <t>HL7 ValueSet expand (2026-06-09)</t>
        </is>
      </c>
      <c r="K467" t="inlineStr">
        <is>
          <t>false</t>
        </is>
      </c>
    </row>
    <row r="468">
      <c r="A468" t="inlineStr">
        <is>
          <t>Patient.race</t>
        </is>
      </c>
      <c r="B468" t="inlineStr">
        <is>
          <t>urn:oid:2.16.840.1.113883.6.238</t>
        </is>
      </c>
      <c r="C468" t="inlineStr">
        <is>
          <t>1594-1</t>
        </is>
      </c>
      <c r="D468" t="inlineStr">
        <is>
          <t>Skull Valley</t>
        </is>
      </c>
      <c r="E468" t="inlineStr">
        <is>
          <t>detailed</t>
        </is>
      </c>
      <c r="F468" t="inlineStr">
        <is>
          <t>primary</t>
        </is>
      </c>
      <c r="G468" t="inlineStr">
        <is>
          <t>required</t>
        </is>
      </c>
      <c r="H468" t="inlineStr">
        <is>
          <t>true</t>
        </is>
      </c>
      <c r="I468" t="inlineStr">
        <is>
          <t>555</t>
        </is>
      </c>
      <c r="J468" t="inlineStr">
        <is>
          <t>HL7 ValueSet expand (2026-06-09)</t>
        </is>
      </c>
      <c r="K468" t="inlineStr">
        <is>
          <t>false</t>
        </is>
      </c>
    </row>
    <row r="469">
      <c r="A469" t="inlineStr">
        <is>
          <t>Patient.race</t>
        </is>
      </c>
      <c r="B469" t="inlineStr">
        <is>
          <t>urn:oid:2.16.840.1.113883.6.238</t>
        </is>
      </c>
      <c r="C469" t="inlineStr">
        <is>
          <t>1595-8</t>
        </is>
      </c>
      <c r="D469" t="inlineStr">
        <is>
          <t>South Fork Shoshone</t>
        </is>
      </c>
      <c r="E469" t="inlineStr">
        <is>
          <t>detailed</t>
        </is>
      </c>
      <c r="F469" t="inlineStr">
        <is>
          <t>primary</t>
        </is>
      </c>
      <c r="G469" t="inlineStr">
        <is>
          <t>required</t>
        </is>
      </c>
      <c r="H469" t="inlineStr">
        <is>
          <t>true</t>
        </is>
      </c>
      <c r="I469" t="inlineStr">
        <is>
          <t>556</t>
        </is>
      </c>
      <c r="J469" t="inlineStr">
        <is>
          <t>HL7 ValueSet expand (2026-06-09)</t>
        </is>
      </c>
      <c r="K469" t="inlineStr">
        <is>
          <t>false</t>
        </is>
      </c>
    </row>
    <row r="470">
      <c r="A470" t="inlineStr">
        <is>
          <t>Patient.race</t>
        </is>
      </c>
      <c r="B470" t="inlineStr">
        <is>
          <t>urn:oid:2.16.840.1.113883.6.238</t>
        </is>
      </c>
      <c r="C470" t="inlineStr">
        <is>
          <t>1596-6</t>
        </is>
      </c>
      <c r="D470" t="inlineStr">
        <is>
          <t>Te-Moak Western Shoshone</t>
        </is>
      </c>
      <c r="E470" t="inlineStr">
        <is>
          <t>detailed</t>
        </is>
      </c>
      <c r="F470" t="inlineStr">
        <is>
          <t>primary</t>
        </is>
      </c>
      <c r="G470" t="inlineStr">
        <is>
          <t>required</t>
        </is>
      </c>
      <c r="H470" t="inlineStr">
        <is>
          <t>true</t>
        </is>
      </c>
      <c r="I470" t="inlineStr">
        <is>
          <t>557</t>
        </is>
      </c>
      <c r="J470" t="inlineStr">
        <is>
          <t>HL7 ValueSet expand (2026-06-09)</t>
        </is>
      </c>
      <c r="K470" t="inlineStr">
        <is>
          <t>false</t>
        </is>
      </c>
    </row>
    <row r="471">
      <c r="A471" t="inlineStr">
        <is>
          <t>Patient.race</t>
        </is>
      </c>
      <c r="B471" t="inlineStr">
        <is>
          <t>urn:oid:2.16.840.1.113883.6.238</t>
        </is>
      </c>
      <c r="C471" t="inlineStr">
        <is>
          <t>1597-4</t>
        </is>
      </c>
      <c r="D471" t="inlineStr">
        <is>
          <t>Timbi-Sha Shoshone</t>
        </is>
      </c>
      <c r="E471" t="inlineStr">
        <is>
          <t>detailed</t>
        </is>
      </c>
      <c r="F471" t="inlineStr">
        <is>
          <t>primary</t>
        </is>
      </c>
      <c r="G471" t="inlineStr">
        <is>
          <t>required</t>
        </is>
      </c>
      <c r="H471" t="inlineStr">
        <is>
          <t>true</t>
        </is>
      </c>
      <c r="I471" t="inlineStr">
        <is>
          <t>558</t>
        </is>
      </c>
      <c r="J471" t="inlineStr">
        <is>
          <t>HL7 ValueSet expand (2026-06-09)</t>
        </is>
      </c>
      <c r="K471" t="inlineStr">
        <is>
          <t>false</t>
        </is>
      </c>
    </row>
    <row r="472">
      <c r="A472" t="inlineStr">
        <is>
          <t>Patient.race</t>
        </is>
      </c>
      <c r="B472" t="inlineStr">
        <is>
          <t>urn:oid:2.16.840.1.113883.6.238</t>
        </is>
      </c>
      <c r="C472" t="inlineStr">
        <is>
          <t>1598-2</t>
        </is>
      </c>
      <c r="D472" t="inlineStr">
        <is>
          <t>Washakie</t>
        </is>
      </c>
      <c r="E472" t="inlineStr">
        <is>
          <t>detailed</t>
        </is>
      </c>
      <c r="F472" t="inlineStr">
        <is>
          <t>primary</t>
        </is>
      </c>
      <c r="G472" t="inlineStr">
        <is>
          <t>required</t>
        </is>
      </c>
      <c r="H472" t="inlineStr">
        <is>
          <t>true</t>
        </is>
      </c>
      <c r="I472" t="inlineStr">
        <is>
          <t>559</t>
        </is>
      </c>
      <c r="J472" t="inlineStr">
        <is>
          <t>HL7 ValueSet expand (2026-06-09)</t>
        </is>
      </c>
      <c r="K472" t="inlineStr">
        <is>
          <t>false</t>
        </is>
      </c>
    </row>
    <row r="473">
      <c r="A473" t="inlineStr">
        <is>
          <t>Patient.race</t>
        </is>
      </c>
      <c r="B473" t="inlineStr">
        <is>
          <t>urn:oid:2.16.840.1.113883.6.238</t>
        </is>
      </c>
      <c r="C473" t="inlineStr">
        <is>
          <t>1599-0</t>
        </is>
      </c>
      <c r="D473" t="inlineStr">
        <is>
          <t>Wind River Shoshone</t>
        </is>
      </c>
      <c r="E473" t="inlineStr">
        <is>
          <t>detailed</t>
        </is>
      </c>
      <c r="F473" t="inlineStr">
        <is>
          <t>primary</t>
        </is>
      </c>
      <c r="G473" t="inlineStr">
        <is>
          <t>required</t>
        </is>
      </c>
      <c r="H473" t="inlineStr">
        <is>
          <t>true</t>
        </is>
      </c>
      <c r="I473" t="inlineStr">
        <is>
          <t>560</t>
        </is>
      </c>
      <c r="J473" t="inlineStr">
        <is>
          <t>HL7 ValueSet expand (2026-06-09)</t>
        </is>
      </c>
      <c r="K473" t="inlineStr">
        <is>
          <t>false</t>
        </is>
      </c>
    </row>
    <row r="474">
      <c r="A474" t="inlineStr">
        <is>
          <t>Patient.race</t>
        </is>
      </c>
      <c r="B474" t="inlineStr">
        <is>
          <t>urn:oid:2.16.840.1.113883.6.238</t>
        </is>
      </c>
      <c r="C474" t="inlineStr">
        <is>
          <t>1600-6</t>
        </is>
      </c>
      <c r="D474" t="inlineStr">
        <is>
          <t>Yomba</t>
        </is>
      </c>
      <c r="E474" t="inlineStr">
        <is>
          <t>detailed</t>
        </is>
      </c>
      <c r="F474" t="inlineStr">
        <is>
          <t>primary</t>
        </is>
      </c>
      <c r="G474" t="inlineStr">
        <is>
          <t>required</t>
        </is>
      </c>
      <c r="H474" t="inlineStr">
        <is>
          <t>true</t>
        </is>
      </c>
      <c r="I474" t="inlineStr">
        <is>
          <t>561</t>
        </is>
      </c>
      <c r="J474" t="inlineStr">
        <is>
          <t>HL7 ValueSet expand (2026-06-09)</t>
        </is>
      </c>
      <c r="K474" t="inlineStr">
        <is>
          <t>false</t>
        </is>
      </c>
    </row>
    <row r="475">
      <c r="A475" t="inlineStr">
        <is>
          <t>Patient.race</t>
        </is>
      </c>
      <c r="B475" t="inlineStr">
        <is>
          <t>urn:oid:2.16.840.1.113883.6.238</t>
        </is>
      </c>
      <c r="C475" t="inlineStr">
        <is>
          <t>1602-2</t>
        </is>
      </c>
      <c r="D475" t="inlineStr">
        <is>
          <t>Shoshone Paiute</t>
        </is>
      </c>
      <c r="E475" t="inlineStr">
        <is>
          <t>detailed</t>
        </is>
      </c>
      <c r="F475" t="inlineStr">
        <is>
          <t>primary</t>
        </is>
      </c>
      <c r="G475" t="inlineStr">
        <is>
          <t>required</t>
        </is>
      </c>
      <c r="H475" t="inlineStr">
        <is>
          <t>true</t>
        </is>
      </c>
      <c r="I475" t="inlineStr">
        <is>
          <t>562</t>
        </is>
      </c>
      <c r="J475" t="inlineStr">
        <is>
          <t>HL7 ValueSet expand (2026-06-09)</t>
        </is>
      </c>
      <c r="K475" t="inlineStr">
        <is>
          <t>false</t>
        </is>
      </c>
    </row>
    <row r="476">
      <c r="A476" t="inlineStr">
        <is>
          <t>Patient.race</t>
        </is>
      </c>
      <c r="B476" t="inlineStr">
        <is>
          <t>urn:oid:2.16.840.1.113883.6.238</t>
        </is>
      </c>
      <c r="C476" t="inlineStr">
        <is>
          <t>1603-0</t>
        </is>
      </c>
      <c r="D476" t="inlineStr">
        <is>
          <t>Duck Valley</t>
        </is>
      </c>
      <c r="E476" t="inlineStr">
        <is>
          <t>detailed</t>
        </is>
      </c>
      <c r="F476" t="inlineStr">
        <is>
          <t>primary</t>
        </is>
      </c>
      <c r="G476" t="inlineStr">
        <is>
          <t>required</t>
        </is>
      </c>
      <c r="H476" t="inlineStr">
        <is>
          <t>true</t>
        </is>
      </c>
      <c r="I476" t="inlineStr">
        <is>
          <t>563</t>
        </is>
      </c>
      <c r="J476" t="inlineStr">
        <is>
          <t>HL7 ValueSet expand (2026-06-09)</t>
        </is>
      </c>
      <c r="K476" t="inlineStr">
        <is>
          <t>false</t>
        </is>
      </c>
    </row>
    <row r="477">
      <c r="A477" t="inlineStr">
        <is>
          <t>Patient.race</t>
        </is>
      </c>
      <c r="B477" t="inlineStr">
        <is>
          <t>urn:oid:2.16.840.1.113883.6.238</t>
        </is>
      </c>
      <c r="C477" t="inlineStr">
        <is>
          <t>1604-8</t>
        </is>
      </c>
      <c r="D477" t="inlineStr">
        <is>
          <t>Fallon</t>
        </is>
      </c>
      <c r="E477" t="inlineStr">
        <is>
          <t>detailed</t>
        </is>
      </c>
      <c r="F477" t="inlineStr">
        <is>
          <t>primary</t>
        </is>
      </c>
      <c r="G477" t="inlineStr">
        <is>
          <t>required</t>
        </is>
      </c>
      <c r="H477" t="inlineStr">
        <is>
          <t>true</t>
        </is>
      </c>
      <c r="I477" t="inlineStr">
        <is>
          <t>564</t>
        </is>
      </c>
      <c r="J477" t="inlineStr">
        <is>
          <t>HL7 ValueSet expand (2026-06-09)</t>
        </is>
      </c>
      <c r="K477" t="inlineStr">
        <is>
          <t>false</t>
        </is>
      </c>
    </row>
    <row r="478">
      <c r="A478" t="inlineStr">
        <is>
          <t>Patient.race</t>
        </is>
      </c>
      <c r="B478" t="inlineStr">
        <is>
          <t>urn:oid:2.16.840.1.113883.6.238</t>
        </is>
      </c>
      <c r="C478" t="inlineStr">
        <is>
          <t>1605-5</t>
        </is>
      </c>
      <c r="D478" t="inlineStr">
        <is>
          <t>Fort McDermitt</t>
        </is>
      </c>
      <c r="E478" t="inlineStr">
        <is>
          <t>detailed</t>
        </is>
      </c>
      <c r="F478" t="inlineStr">
        <is>
          <t>primary</t>
        </is>
      </c>
      <c r="G478" t="inlineStr">
        <is>
          <t>required</t>
        </is>
      </c>
      <c r="H478" t="inlineStr">
        <is>
          <t>true</t>
        </is>
      </c>
      <c r="I478" t="inlineStr">
        <is>
          <t>565</t>
        </is>
      </c>
      <c r="J478" t="inlineStr">
        <is>
          <t>HL7 ValueSet expand (2026-06-09)</t>
        </is>
      </c>
      <c r="K478" t="inlineStr">
        <is>
          <t>false</t>
        </is>
      </c>
    </row>
    <row r="479">
      <c r="A479" t="inlineStr">
        <is>
          <t>Patient.race</t>
        </is>
      </c>
      <c r="B479" t="inlineStr">
        <is>
          <t>urn:oid:2.16.840.1.113883.6.238</t>
        </is>
      </c>
      <c r="C479" t="inlineStr">
        <is>
          <t>1607-1</t>
        </is>
      </c>
      <c r="D479" t="inlineStr">
        <is>
          <t>Siletz</t>
        </is>
      </c>
      <c r="E479" t="inlineStr">
        <is>
          <t>detailed</t>
        </is>
      </c>
      <c r="F479" t="inlineStr">
        <is>
          <t>primary</t>
        </is>
      </c>
      <c r="G479" t="inlineStr">
        <is>
          <t>required</t>
        </is>
      </c>
      <c r="H479" t="inlineStr">
        <is>
          <t>true</t>
        </is>
      </c>
      <c r="I479" t="inlineStr">
        <is>
          <t>566</t>
        </is>
      </c>
      <c r="J479" t="inlineStr">
        <is>
          <t>HL7 ValueSet expand (2026-06-09)</t>
        </is>
      </c>
      <c r="K479" t="inlineStr">
        <is>
          <t>false</t>
        </is>
      </c>
    </row>
    <row r="480">
      <c r="A480" t="inlineStr">
        <is>
          <t>Patient.race</t>
        </is>
      </c>
      <c r="B480" t="inlineStr">
        <is>
          <t>urn:oid:2.16.840.1.113883.6.238</t>
        </is>
      </c>
      <c r="C480" t="inlineStr">
        <is>
          <t>1609-7</t>
        </is>
      </c>
      <c r="D480" t="inlineStr">
        <is>
          <t>Sioux</t>
        </is>
      </c>
      <c r="E480" t="inlineStr">
        <is>
          <t>detailed</t>
        </is>
      </c>
      <c r="F480" t="inlineStr">
        <is>
          <t>primary</t>
        </is>
      </c>
      <c r="G480" t="inlineStr">
        <is>
          <t>required</t>
        </is>
      </c>
      <c r="H480" t="inlineStr">
        <is>
          <t>true</t>
        </is>
      </c>
      <c r="I480" t="inlineStr">
        <is>
          <t>567</t>
        </is>
      </c>
      <c r="J480" t="inlineStr">
        <is>
          <t>HL7 ValueSet expand (2026-06-09)</t>
        </is>
      </c>
      <c r="K480" t="inlineStr">
        <is>
          <t>false</t>
        </is>
      </c>
    </row>
    <row r="481">
      <c r="A481" t="inlineStr">
        <is>
          <t>Patient.race</t>
        </is>
      </c>
      <c r="B481" t="inlineStr">
        <is>
          <t>urn:oid:2.16.840.1.113883.6.238</t>
        </is>
      </c>
      <c r="C481" t="inlineStr">
        <is>
          <t>1610-5</t>
        </is>
      </c>
      <c r="D481" t="inlineStr">
        <is>
          <t>Blackfoot Sioux</t>
        </is>
      </c>
      <c r="E481" t="inlineStr">
        <is>
          <t>detailed</t>
        </is>
      </c>
      <c r="F481" t="inlineStr">
        <is>
          <t>primary</t>
        </is>
      </c>
      <c r="G481" t="inlineStr">
        <is>
          <t>required</t>
        </is>
      </c>
      <c r="H481" t="inlineStr">
        <is>
          <t>true</t>
        </is>
      </c>
      <c r="I481" t="inlineStr">
        <is>
          <t>568</t>
        </is>
      </c>
      <c r="J481" t="inlineStr">
        <is>
          <t>HL7 ValueSet expand (2026-06-09)</t>
        </is>
      </c>
      <c r="K481" t="inlineStr">
        <is>
          <t>false</t>
        </is>
      </c>
    </row>
    <row r="482">
      <c r="A482" t="inlineStr">
        <is>
          <t>Patient.race</t>
        </is>
      </c>
      <c r="B482" t="inlineStr">
        <is>
          <t>urn:oid:2.16.840.1.113883.6.238</t>
        </is>
      </c>
      <c r="C482" t="inlineStr">
        <is>
          <t>1611-3</t>
        </is>
      </c>
      <c r="D482" t="inlineStr">
        <is>
          <t>Brule Sioux</t>
        </is>
      </c>
      <c r="E482" t="inlineStr">
        <is>
          <t>detailed</t>
        </is>
      </c>
      <c r="F482" t="inlineStr">
        <is>
          <t>primary</t>
        </is>
      </c>
      <c r="G482" t="inlineStr">
        <is>
          <t>required</t>
        </is>
      </c>
      <c r="H482" t="inlineStr">
        <is>
          <t>true</t>
        </is>
      </c>
      <c r="I482" t="inlineStr">
        <is>
          <t>569</t>
        </is>
      </c>
      <c r="J482" t="inlineStr">
        <is>
          <t>HL7 ValueSet expand (2026-06-09)</t>
        </is>
      </c>
      <c r="K482" t="inlineStr">
        <is>
          <t>false</t>
        </is>
      </c>
    </row>
    <row r="483">
      <c r="A483" t="inlineStr">
        <is>
          <t>Patient.race</t>
        </is>
      </c>
      <c r="B483" t="inlineStr">
        <is>
          <t>urn:oid:2.16.840.1.113883.6.238</t>
        </is>
      </c>
      <c r="C483" t="inlineStr">
        <is>
          <t>1612-1</t>
        </is>
      </c>
      <c r="D483" t="inlineStr">
        <is>
          <t>Cheyenne River Sioux</t>
        </is>
      </c>
      <c r="E483" t="inlineStr">
        <is>
          <t>detailed</t>
        </is>
      </c>
      <c r="F483" t="inlineStr">
        <is>
          <t>primary</t>
        </is>
      </c>
      <c r="G483" t="inlineStr">
        <is>
          <t>required</t>
        </is>
      </c>
      <c r="H483" t="inlineStr">
        <is>
          <t>true</t>
        </is>
      </c>
      <c r="I483" t="inlineStr">
        <is>
          <t>570</t>
        </is>
      </c>
      <c r="J483" t="inlineStr">
        <is>
          <t>HL7 ValueSet expand (2026-06-09)</t>
        </is>
      </c>
      <c r="K483" t="inlineStr">
        <is>
          <t>false</t>
        </is>
      </c>
    </row>
    <row r="484">
      <c r="A484" t="inlineStr">
        <is>
          <t>Patient.race</t>
        </is>
      </c>
      <c r="B484" t="inlineStr">
        <is>
          <t>urn:oid:2.16.840.1.113883.6.238</t>
        </is>
      </c>
      <c r="C484" t="inlineStr">
        <is>
          <t>1613-9</t>
        </is>
      </c>
      <c r="D484" t="inlineStr">
        <is>
          <t>Crow Creek Sioux</t>
        </is>
      </c>
      <c r="E484" t="inlineStr">
        <is>
          <t>detailed</t>
        </is>
      </c>
      <c r="F484" t="inlineStr">
        <is>
          <t>primary</t>
        </is>
      </c>
      <c r="G484" t="inlineStr">
        <is>
          <t>required</t>
        </is>
      </c>
      <c r="H484" t="inlineStr">
        <is>
          <t>true</t>
        </is>
      </c>
      <c r="I484" t="inlineStr">
        <is>
          <t>571</t>
        </is>
      </c>
      <c r="J484" t="inlineStr">
        <is>
          <t>HL7 ValueSet expand (2026-06-09)</t>
        </is>
      </c>
      <c r="K484" t="inlineStr">
        <is>
          <t>false</t>
        </is>
      </c>
    </row>
    <row r="485">
      <c r="A485" t="inlineStr">
        <is>
          <t>Patient.race</t>
        </is>
      </c>
      <c r="B485" t="inlineStr">
        <is>
          <t>urn:oid:2.16.840.1.113883.6.238</t>
        </is>
      </c>
      <c r="C485" t="inlineStr">
        <is>
          <t>1614-7</t>
        </is>
      </c>
      <c r="D485" t="inlineStr">
        <is>
          <t>Dakota Sioux</t>
        </is>
      </c>
      <c r="E485" t="inlineStr">
        <is>
          <t>detailed</t>
        </is>
      </c>
      <c r="F485" t="inlineStr">
        <is>
          <t>primary</t>
        </is>
      </c>
      <c r="G485" t="inlineStr">
        <is>
          <t>required</t>
        </is>
      </c>
      <c r="H485" t="inlineStr">
        <is>
          <t>true</t>
        </is>
      </c>
      <c r="I485" t="inlineStr">
        <is>
          <t>572</t>
        </is>
      </c>
      <c r="J485" t="inlineStr">
        <is>
          <t>HL7 ValueSet expand (2026-06-09)</t>
        </is>
      </c>
      <c r="K485" t="inlineStr">
        <is>
          <t>false</t>
        </is>
      </c>
    </row>
    <row r="486">
      <c r="A486" t="inlineStr">
        <is>
          <t>Patient.race</t>
        </is>
      </c>
      <c r="B486" t="inlineStr">
        <is>
          <t>urn:oid:2.16.840.1.113883.6.238</t>
        </is>
      </c>
      <c r="C486" t="inlineStr">
        <is>
          <t>1615-4</t>
        </is>
      </c>
      <c r="D486" t="inlineStr">
        <is>
          <t>Flandreau Santee</t>
        </is>
      </c>
      <c r="E486" t="inlineStr">
        <is>
          <t>detailed</t>
        </is>
      </c>
      <c r="F486" t="inlineStr">
        <is>
          <t>primary</t>
        </is>
      </c>
      <c r="G486" t="inlineStr">
        <is>
          <t>required</t>
        </is>
      </c>
      <c r="H486" t="inlineStr">
        <is>
          <t>true</t>
        </is>
      </c>
      <c r="I486" t="inlineStr">
        <is>
          <t>573</t>
        </is>
      </c>
      <c r="J486" t="inlineStr">
        <is>
          <t>HL7 ValueSet expand (2026-06-09)</t>
        </is>
      </c>
      <c r="K486" t="inlineStr">
        <is>
          <t>false</t>
        </is>
      </c>
    </row>
    <row r="487">
      <c r="A487" t="inlineStr">
        <is>
          <t>Patient.race</t>
        </is>
      </c>
      <c r="B487" t="inlineStr">
        <is>
          <t>urn:oid:2.16.840.1.113883.6.238</t>
        </is>
      </c>
      <c r="C487" t="inlineStr">
        <is>
          <t>1616-2</t>
        </is>
      </c>
      <c r="D487" t="inlineStr">
        <is>
          <t>Fort Peck</t>
        </is>
      </c>
      <c r="E487" t="inlineStr">
        <is>
          <t>detailed</t>
        </is>
      </c>
      <c r="F487" t="inlineStr">
        <is>
          <t>primary</t>
        </is>
      </c>
      <c r="G487" t="inlineStr">
        <is>
          <t>required</t>
        </is>
      </c>
      <c r="H487" t="inlineStr">
        <is>
          <t>true</t>
        </is>
      </c>
      <c r="I487" t="inlineStr">
        <is>
          <t>574</t>
        </is>
      </c>
      <c r="J487" t="inlineStr">
        <is>
          <t>HL7 ValueSet expand (2026-06-09)</t>
        </is>
      </c>
      <c r="K487" t="inlineStr">
        <is>
          <t>false</t>
        </is>
      </c>
    </row>
    <row r="488">
      <c r="A488" t="inlineStr">
        <is>
          <t>Patient.race</t>
        </is>
      </c>
      <c r="B488" t="inlineStr">
        <is>
          <t>urn:oid:2.16.840.1.113883.6.238</t>
        </is>
      </c>
      <c r="C488" t="inlineStr">
        <is>
          <t>1617-0</t>
        </is>
      </c>
      <c r="D488" t="inlineStr">
        <is>
          <t>Lake Traverse Sioux</t>
        </is>
      </c>
      <c r="E488" t="inlineStr">
        <is>
          <t>detailed</t>
        </is>
      </c>
      <c r="F488" t="inlineStr">
        <is>
          <t>primary</t>
        </is>
      </c>
      <c r="G488" t="inlineStr">
        <is>
          <t>required</t>
        </is>
      </c>
      <c r="H488" t="inlineStr">
        <is>
          <t>true</t>
        </is>
      </c>
      <c r="I488" t="inlineStr">
        <is>
          <t>575</t>
        </is>
      </c>
      <c r="J488" t="inlineStr">
        <is>
          <t>HL7 ValueSet expand (2026-06-09)</t>
        </is>
      </c>
      <c r="K488" t="inlineStr">
        <is>
          <t>false</t>
        </is>
      </c>
    </row>
    <row r="489">
      <c r="A489" t="inlineStr">
        <is>
          <t>Patient.race</t>
        </is>
      </c>
      <c r="B489" t="inlineStr">
        <is>
          <t>urn:oid:2.16.840.1.113883.6.238</t>
        </is>
      </c>
      <c r="C489" t="inlineStr">
        <is>
          <t>1618-8</t>
        </is>
      </c>
      <c r="D489" t="inlineStr">
        <is>
          <t>Lower Brule Sioux</t>
        </is>
      </c>
      <c r="E489" t="inlineStr">
        <is>
          <t>detailed</t>
        </is>
      </c>
      <c r="F489" t="inlineStr">
        <is>
          <t>primary</t>
        </is>
      </c>
      <c r="G489" t="inlineStr">
        <is>
          <t>required</t>
        </is>
      </c>
      <c r="H489" t="inlineStr">
        <is>
          <t>true</t>
        </is>
      </c>
      <c r="I489" t="inlineStr">
        <is>
          <t>576</t>
        </is>
      </c>
      <c r="J489" t="inlineStr">
        <is>
          <t>HL7 ValueSet expand (2026-06-09)</t>
        </is>
      </c>
      <c r="K489" t="inlineStr">
        <is>
          <t>false</t>
        </is>
      </c>
    </row>
    <row r="490">
      <c r="A490" t="inlineStr">
        <is>
          <t>Patient.race</t>
        </is>
      </c>
      <c r="B490" t="inlineStr">
        <is>
          <t>urn:oid:2.16.840.1.113883.6.238</t>
        </is>
      </c>
      <c r="C490" t="inlineStr">
        <is>
          <t>1619-6</t>
        </is>
      </c>
      <c r="D490" t="inlineStr">
        <is>
          <t>Lower Sioux</t>
        </is>
      </c>
      <c r="E490" t="inlineStr">
        <is>
          <t>detailed</t>
        </is>
      </c>
      <c r="F490" t="inlineStr">
        <is>
          <t>primary</t>
        </is>
      </c>
      <c r="G490" t="inlineStr">
        <is>
          <t>required</t>
        </is>
      </c>
      <c r="H490" t="inlineStr">
        <is>
          <t>true</t>
        </is>
      </c>
      <c r="I490" t="inlineStr">
        <is>
          <t>577</t>
        </is>
      </c>
      <c r="J490" t="inlineStr">
        <is>
          <t>HL7 ValueSet expand (2026-06-09)</t>
        </is>
      </c>
      <c r="K490" t="inlineStr">
        <is>
          <t>false</t>
        </is>
      </c>
    </row>
    <row r="491">
      <c r="A491" t="inlineStr">
        <is>
          <t>Patient.race</t>
        </is>
      </c>
      <c r="B491" t="inlineStr">
        <is>
          <t>urn:oid:2.16.840.1.113883.6.238</t>
        </is>
      </c>
      <c r="C491" t="inlineStr">
        <is>
          <t>1620-4</t>
        </is>
      </c>
      <c r="D491" t="inlineStr">
        <is>
          <t>Mdewakanton Sioux</t>
        </is>
      </c>
      <c r="E491" t="inlineStr">
        <is>
          <t>detailed</t>
        </is>
      </c>
      <c r="F491" t="inlineStr">
        <is>
          <t>primary</t>
        </is>
      </c>
      <c r="G491" t="inlineStr">
        <is>
          <t>required</t>
        </is>
      </c>
      <c r="H491" t="inlineStr">
        <is>
          <t>true</t>
        </is>
      </c>
      <c r="I491" t="inlineStr">
        <is>
          <t>578</t>
        </is>
      </c>
      <c r="J491" t="inlineStr">
        <is>
          <t>HL7 ValueSet expand (2026-06-09)</t>
        </is>
      </c>
      <c r="K491" t="inlineStr">
        <is>
          <t>false</t>
        </is>
      </c>
    </row>
    <row r="492">
      <c r="A492" t="inlineStr">
        <is>
          <t>Patient.race</t>
        </is>
      </c>
      <c r="B492" t="inlineStr">
        <is>
          <t>urn:oid:2.16.840.1.113883.6.238</t>
        </is>
      </c>
      <c r="C492" t="inlineStr">
        <is>
          <t>1621-2</t>
        </is>
      </c>
      <c r="D492" t="inlineStr">
        <is>
          <t>Miniconjou</t>
        </is>
      </c>
      <c r="E492" t="inlineStr">
        <is>
          <t>detailed</t>
        </is>
      </c>
      <c r="F492" t="inlineStr">
        <is>
          <t>primary</t>
        </is>
      </c>
      <c r="G492" t="inlineStr">
        <is>
          <t>required</t>
        </is>
      </c>
      <c r="H492" t="inlineStr">
        <is>
          <t>true</t>
        </is>
      </c>
      <c r="I492" t="inlineStr">
        <is>
          <t>579</t>
        </is>
      </c>
      <c r="J492" t="inlineStr">
        <is>
          <t>HL7 ValueSet expand (2026-06-09)</t>
        </is>
      </c>
      <c r="K492" t="inlineStr">
        <is>
          <t>false</t>
        </is>
      </c>
    </row>
    <row r="493">
      <c r="A493" t="inlineStr">
        <is>
          <t>Patient.race</t>
        </is>
      </c>
      <c r="B493" t="inlineStr">
        <is>
          <t>urn:oid:2.16.840.1.113883.6.238</t>
        </is>
      </c>
      <c r="C493" t="inlineStr">
        <is>
          <t>1622-0</t>
        </is>
      </c>
      <c r="D493" t="inlineStr">
        <is>
          <t>Oglala Sioux</t>
        </is>
      </c>
      <c r="E493" t="inlineStr">
        <is>
          <t>detailed</t>
        </is>
      </c>
      <c r="F493" t="inlineStr">
        <is>
          <t>primary</t>
        </is>
      </c>
      <c r="G493" t="inlineStr">
        <is>
          <t>required</t>
        </is>
      </c>
      <c r="H493" t="inlineStr">
        <is>
          <t>true</t>
        </is>
      </c>
      <c r="I493" t="inlineStr">
        <is>
          <t>580</t>
        </is>
      </c>
      <c r="J493" t="inlineStr">
        <is>
          <t>HL7 ValueSet expand (2026-06-09)</t>
        </is>
      </c>
      <c r="K493" t="inlineStr">
        <is>
          <t>false</t>
        </is>
      </c>
    </row>
    <row r="494">
      <c r="A494" t="inlineStr">
        <is>
          <t>Patient.race</t>
        </is>
      </c>
      <c r="B494" t="inlineStr">
        <is>
          <t>urn:oid:2.16.840.1.113883.6.238</t>
        </is>
      </c>
      <c r="C494" t="inlineStr">
        <is>
          <t>1623-8</t>
        </is>
      </c>
      <c r="D494" t="inlineStr">
        <is>
          <t>Pine Ridge Sioux</t>
        </is>
      </c>
      <c r="E494" t="inlineStr">
        <is>
          <t>detailed</t>
        </is>
      </c>
      <c r="F494" t="inlineStr">
        <is>
          <t>primary</t>
        </is>
      </c>
      <c r="G494" t="inlineStr">
        <is>
          <t>required</t>
        </is>
      </c>
      <c r="H494" t="inlineStr">
        <is>
          <t>true</t>
        </is>
      </c>
      <c r="I494" t="inlineStr">
        <is>
          <t>581</t>
        </is>
      </c>
      <c r="J494" t="inlineStr">
        <is>
          <t>HL7 ValueSet expand (2026-06-09)</t>
        </is>
      </c>
      <c r="K494" t="inlineStr">
        <is>
          <t>false</t>
        </is>
      </c>
    </row>
    <row r="495">
      <c r="A495" t="inlineStr">
        <is>
          <t>Patient.race</t>
        </is>
      </c>
      <c r="B495" t="inlineStr">
        <is>
          <t>urn:oid:2.16.840.1.113883.6.238</t>
        </is>
      </c>
      <c r="C495" t="inlineStr">
        <is>
          <t>1624-6</t>
        </is>
      </c>
      <c r="D495" t="inlineStr">
        <is>
          <t>Pipestone Sioux</t>
        </is>
      </c>
      <c r="E495" t="inlineStr">
        <is>
          <t>detailed</t>
        </is>
      </c>
      <c r="F495" t="inlineStr">
        <is>
          <t>primary</t>
        </is>
      </c>
      <c r="G495" t="inlineStr">
        <is>
          <t>required</t>
        </is>
      </c>
      <c r="H495" t="inlineStr">
        <is>
          <t>true</t>
        </is>
      </c>
      <c r="I495" t="inlineStr">
        <is>
          <t>582</t>
        </is>
      </c>
      <c r="J495" t="inlineStr">
        <is>
          <t>HL7 ValueSet expand (2026-06-09)</t>
        </is>
      </c>
      <c r="K495" t="inlineStr">
        <is>
          <t>false</t>
        </is>
      </c>
    </row>
    <row r="496">
      <c r="A496" t="inlineStr">
        <is>
          <t>Patient.race</t>
        </is>
      </c>
      <c r="B496" t="inlineStr">
        <is>
          <t>urn:oid:2.16.840.1.113883.6.238</t>
        </is>
      </c>
      <c r="C496" t="inlineStr">
        <is>
          <t>1625-3</t>
        </is>
      </c>
      <c r="D496" t="inlineStr">
        <is>
          <t>Prairie Island Sioux</t>
        </is>
      </c>
      <c r="E496" t="inlineStr">
        <is>
          <t>detailed</t>
        </is>
      </c>
      <c r="F496" t="inlineStr">
        <is>
          <t>primary</t>
        </is>
      </c>
      <c r="G496" t="inlineStr">
        <is>
          <t>required</t>
        </is>
      </c>
      <c r="H496" t="inlineStr">
        <is>
          <t>true</t>
        </is>
      </c>
      <c r="I496" t="inlineStr">
        <is>
          <t>583</t>
        </is>
      </c>
      <c r="J496" t="inlineStr">
        <is>
          <t>HL7 ValueSet expand (2026-06-09)</t>
        </is>
      </c>
      <c r="K496" t="inlineStr">
        <is>
          <t>false</t>
        </is>
      </c>
    </row>
    <row r="497">
      <c r="A497" t="inlineStr">
        <is>
          <t>Patient.race</t>
        </is>
      </c>
      <c r="B497" t="inlineStr">
        <is>
          <t>urn:oid:2.16.840.1.113883.6.238</t>
        </is>
      </c>
      <c r="C497" t="inlineStr">
        <is>
          <t>1626-1</t>
        </is>
      </c>
      <c r="D497" t="inlineStr">
        <is>
          <t>Prior Lake Sioux</t>
        </is>
      </c>
      <c r="E497" t="inlineStr">
        <is>
          <t>detailed</t>
        </is>
      </c>
      <c r="F497" t="inlineStr">
        <is>
          <t>primary</t>
        </is>
      </c>
      <c r="G497" t="inlineStr">
        <is>
          <t>required</t>
        </is>
      </c>
      <c r="H497" t="inlineStr">
        <is>
          <t>true</t>
        </is>
      </c>
      <c r="I497" t="inlineStr">
        <is>
          <t>584</t>
        </is>
      </c>
      <c r="J497" t="inlineStr">
        <is>
          <t>HL7 ValueSet expand (2026-06-09)</t>
        </is>
      </c>
      <c r="K497" t="inlineStr">
        <is>
          <t>false</t>
        </is>
      </c>
    </row>
    <row r="498">
      <c r="A498" t="inlineStr">
        <is>
          <t>Patient.race</t>
        </is>
      </c>
      <c r="B498" t="inlineStr">
        <is>
          <t>urn:oid:2.16.840.1.113883.6.238</t>
        </is>
      </c>
      <c r="C498" t="inlineStr">
        <is>
          <t>1627-9</t>
        </is>
      </c>
      <c r="D498" t="inlineStr">
        <is>
          <t>Rosebud Sioux</t>
        </is>
      </c>
      <c r="E498" t="inlineStr">
        <is>
          <t>detailed</t>
        </is>
      </c>
      <c r="F498" t="inlineStr">
        <is>
          <t>primary</t>
        </is>
      </c>
      <c r="G498" t="inlineStr">
        <is>
          <t>required</t>
        </is>
      </c>
      <c r="H498" t="inlineStr">
        <is>
          <t>true</t>
        </is>
      </c>
      <c r="I498" t="inlineStr">
        <is>
          <t>585</t>
        </is>
      </c>
      <c r="J498" t="inlineStr">
        <is>
          <t>HL7 ValueSet expand (2026-06-09)</t>
        </is>
      </c>
      <c r="K498" t="inlineStr">
        <is>
          <t>false</t>
        </is>
      </c>
    </row>
    <row r="499">
      <c r="A499" t="inlineStr">
        <is>
          <t>Patient.race</t>
        </is>
      </c>
      <c r="B499" t="inlineStr">
        <is>
          <t>urn:oid:2.16.840.1.113883.6.238</t>
        </is>
      </c>
      <c r="C499" t="inlineStr">
        <is>
          <t>1628-7</t>
        </is>
      </c>
      <c r="D499" t="inlineStr">
        <is>
          <t>Sans Arc Sioux</t>
        </is>
      </c>
      <c r="E499" t="inlineStr">
        <is>
          <t>detailed</t>
        </is>
      </c>
      <c r="F499" t="inlineStr">
        <is>
          <t>primary</t>
        </is>
      </c>
      <c r="G499" t="inlineStr">
        <is>
          <t>required</t>
        </is>
      </c>
      <c r="H499" t="inlineStr">
        <is>
          <t>true</t>
        </is>
      </c>
      <c r="I499" t="inlineStr">
        <is>
          <t>586</t>
        </is>
      </c>
      <c r="J499" t="inlineStr">
        <is>
          <t>HL7 ValueSet expand (2026-06-09)</t>
        </is>
      </c>
      <c r="K499" t="inlineStr">
        <is>
          <t>false</t>
        </is>
      </c>
    </row>
    <row r="500">
      <c r="A500" t="inlineStr">
        <is>
          <t>Patient.race</t>
        </is>
      </c>
      <c r="B500" t="inlineStr">
        <is>
          <t>urn:oid:2.16.840.1.113883.6.238</t>
        </is>
      </c>
      <c r="C500" t="inlineStr">
        <is>
          <t>1629-5</t>
        </is>
      </c>
      <c r="D500" t="inlineStr">
        <is>
          <t>Santee Sioux</t>
        </is>
      </c>
      <c r="E500" t="inlineStr">
        <is>
          <t>detailed</t>
        </is>
      </c>
      <c r="F500" t="inlineStr">
        <is>
          <t>primary</t>
        </is>
      </c>
      <c r="G500" t="inlineStr">
        <is>
          <t>required</t>
        </is>
      </c>
      <c r="H500" t="inlineStr">
        <is>
          <t>true</t>
        </is>
      </c>
      <c r="I500" t="inlineStr">
        <is>
          <t>587</t>
        </is>
      </c>
      <c r="J500" t="inlineStr">
        <is>
          <t>HL7 ValueSet expand (2026-06-09)</t>
        </is>
      </c>
      <c r="K500" t="inlineStr">
        <is>
          <t>false</t>
        </is>
      </c>
    </row>
    <row r="501">
      <c r="A501" t="inlineStr">
        <is>
          <t>Patient.race</t>
        </is>
      </c>
      <c r="B501" t="inlineStr">
        <is>
          <t>urn:oid:2.16.840.1.113883.6.238</t>
        </is>
      </c>
      <c r="C501" t="inlineStr">
        <is>
          <t>1630-3</t>
        </is>
      </c>
      <c r="D501" t="inlineStr">
        <is>
          <t>Sisseton-Wahpeton</t>
        </is>
      </c>
      <c r="E501" t="inlineStr">
        <is>
          <t>detailed</t>
        </is>
      </c>
      <c r="F501" t="inlineStr">
        <is>
          <t>primary</t>
        </is>
      </c>
      <c r="G501" t="inlineStr">
        <is>
          <t>required</t>
        </is>
      </c>
      <c r="H501" t="inlineStr">
        <is>
          <t>true</t>
        </is>
      </c>
      <c r="I501" t="inlineStr">
        <is>
          <t>588</t>
        </is>
      </c>
      <c r="J501" t="inlineStr">
        <is>
          <t>HL7 ValueSet expand (2026-06-09)</t>
        </is>
      </c>
      <c r="K501" t="inlineStr">
        <is>
          <t>false</t>
        </is>
      </c>
    </row>
    <row r="502">
      <c r="A502" t="inlineStr">
        <is>
          <t>Patient.race</t>
        </is>
      </c>
      <c r="B502" t="inlineStr">
        <is>
          <t>urn:oid:2.16.840.1.113883.6.238</t>
        </is>
      </c>
      <c r="C502" t="inlineStr">
        <is>
          <t>1631-1</t>
        </is>
      </c>
      <c r="D502" t="inlineStr">
        <is>
          <t>Sisseton Sioux</t>
        </is>
      </c>
      <c r="E502" t="inlineStr">
        <is>
          <t>detailed</t>
        </is>
      </c>
      <c r="F502" t="inlineStr">
        <is>
          <t>primary</t>
        </is>
      </c>
      <c r="G502" t="inlineStr">
        <is>
          <t>required</t>
        </is>
      </c>
      <c r="H502" t="inlineStr">
        <is>
          <t>true</t>
        </is>
      </c>
      <c r="I502" t="inlineStr">
        <is>
          <t>589</t>
        </is>
      </c>
      <c r="J502" t="inlineStr">
        <is>
          <t>HL7 ValueSet expand (2026-06-09)</t>
        </is>
      </c>
      <c r="K502" t="inlineStr">
        <is>
          <t>false</t>
        </is>
      </c>
    </row>
    <row r="503">
      <c r="A503" t="inlineStr">
        <is>
          <t>Patient.race</t>
        </is>
      </c>
      <c r="B503" t="inlineStr">
        <is>
          <t>urn:oid:2.16.840.1.113883.6.238</t>
        </is>
      </c>
      <c r="C503" t="inlineStr">
        <is>
          <t>1632-9</t>
        </is>
      </c>
      <c r="D503" t="inlineStr">
        <is>
          <t>Spirit Lake Sioux</t>
        </is>
      </c>
      <c r="E503" t="inlineStr">
        <is>
          <t>detailed</t>
        </is>
      </c>
      <c r="F503" t="inlineStr">
        <is>
          <t>primary</t>
        </is>
      </c>
      <c r="G503" t="inlineStr">
        <is>
          <t>required</t>
        </is>
      </c>
      <c r="H503" t="inlineStr">
        <is>
          <t>true</t>
        </is>
      </c>
      <c r="I503" t="inlineStr">
        <is>
          <t>590</t>
        </is>
      </c>
      <c r="J503" t="inlineStr">
        <is>
          <t>HL7 ValueSet expand (2026-06-09)</t>
        </is>
      </c>
      <c r="K503" t="inlineStr">
        <is>
          <t>false</t>
        </is>
      </c>
    </row>
    <row r="504">
      <c r="A504" t="inlineStr">
        <is>
          <t>Patient.race</t>
        </is>
      </c>
      <c r="B504" t="inlineStr">
        <is>
          <t>urn:oid:2.16.840.1.113883.6.238</t>
        </is>
      </c>
      <c r="C504" t="inlineStr">
        <is>
          <t>1633-7</t>
        </is>
      </c>
      <c r="D504" t="inlineStr">
        <is>
          <t>Standing Rock Sioux</t>
        </is>
      </c>
      <c r="E504" t="inlineStr">
        <is>
          <t>detailed</t>
        </is>
      </c>
      <c r="F504" t="inlineStr">
        <is>
          <t>primary</t>
        </is>
      </c>
      <c r="G504" t="inlineStr">
        <is>
          <t>required</t>
        </is>
      </c>
      <c r="H504" t="inlineStr">
        <is>
          <t>true</t>
        </is>
      </c>
      <c r="I504" t="inlineStr">
        <is>
          <t>591</t>
        </is>
      </c>
      <c r="J504" t="inlineStr">
        <is>
          <t>HL7 ValueSet expand (2026-06-09)</t>
        </is>
      </c>
      <c r="K504" t="inlineStr">
        <is>
          <t>false</t>
        </is>
      </c>
    </row>
    <row r="505">
      <c r="A505" t="inlineStr">
        <is>
          <t>Patient.race</t>
        </is>
      </c>
      <c r="B505" t="inlineStr">
        <is>
          <t>urn:oid:2.16.840.1.113883.6.238</t>
        </is>
      </c>
      <c r="C505" t="inlineStr">
        <is>
          <t>1634-5</t>
        </is>
      </c>
      <c r="D505" t="inlineStr">
        <is>
          <t>Teton Sioux</t>
        </is>
      </c>
      <c r="E505" t="inlineStr">
        <is>
          <t>detailed</t>
        </is>
      </c>
      <c r="F505" t="inlineStr">
        <is>
          <t>primary</t>
        </is>
      </c>
      <c r="G505" t="inlineStr">
        <is>
          <t>required</t>
        </is>
      </c>
      <c r="H505" t="inlineStr">
        <is>
          <t>true</t>
        </is>
      </c>
      <c r="I505" t="inlineStr">
        <is>
          <t>592</t>
        </is>
      </c>
      <c r="J505" t="inlineStr">
        <is>
          <t>HL7 ValueSet expand (2026-06-09)</t>
        </is>
      </c>
      <c r="K505" t="inlineStr">
        <is>
          <t>false</t>
        </is>
      </c>
    </row>
    <row r="506">
      <c r="A506" t="inlineStr">
        <is>
          <t>Patient.race</t>
        </is>
      </c>
      <c r="B506" t="inlineStr">
        <is>
          <t>urn:oid:2.16.840.1.113883.6.238</t>
        </is>
      </c>
      <c r="C506" t="inlineStr">
        <is>
          <t>1635-2</t>
        </is>
      </c>
      <c r="D506" t="inlineStr">
        <is>
          <t>Two Kettle Sioux</t>
        </is>
      </c>
      <c r="E506" t="inlineStr">
        <is>
          <t>detailed</t>
        </is>
      </c>
      <c r="F506" t="inlineStr">
        <is>
          <t>primary</t>
        </is>
      </c>
      <c r="G506" t="inlineStr">
        <is>
          <t>required</t>
        </is>
      </c>
      <c r="H506" t="inlineStr">
        <is>
          <t>true</t>
        </is>
      </c>
      <c r="I506" t="inlineStr">
        <is>
          <t>593</t>
        </is>
      </c>
      <c r="J506" t="inlineStr">
        <is>
          <t>HL7 ValueSet expand (2026-06-09)</t>
        </is>
      </c>
      <c r="K506" t="inlineStr">
        <is>
          <t>false</t>
        </is>
      </c>
    </row>
    <row r="507">
      <c r="A507" t="inlineStr">
        <is>
          <t>Patient.race</t>
        </is>
      </c>
      <c r="B507" t="inlineStr">
        <is>
          <t>urn:oid:2.16.840.1.113883.6.238</t>
        </is>
      </c>
      <c r="C507" t="inlineStr">
        <is>
          <t>1636-0</t>
        </is>
      </c>
      <c r="D507" t="inlineStr">
        <is>
          <t>Upper Sioux</t>
        </is>
      </c>
      <c r="E507" t="inlineStr">
        <is>
          <t>detailed</t>
        </is>
      </c>
      <c r="F507" t="inlineStr">
        <is>
          <t>primary</t>
        </is>
      </c>
      <c r="G507" t="inlineStr">
        <is>
          <t>required</t>
        </is>
      </c>
      <c r="H507" t="inlineStr">
        <is>
          <t>true</t>
        </is>
      </c>
      <c r="I507" t="inlineStr">
        <is>
          <t>594</t>
        </is>
      </c>
      <c r="J507" t="inlineStr">
        <is>
          <t>HL7 ValueSet expand (2026-06-09)</t>
        </is>
      </c>
      <c r="K507" t="inlineStr">
        <is>
          <t>false</t>
        </is>
      </c>
    </row>
    <row r="508">
      <c r="A508" t="inlineStr">
        <is>
          <t>Patient.race</t>
        </is>
      </c>
      <c r="B508" t="inlineStr">
        <is>
          <t>urn:oid:2.16.840.1.113883.6.238</t>
        </is>
      </c>
      <c r="C508" t="inlineStr">
        <is>
          <t>1637-8</t>
        </is>
      </c>
      <c r="D508" t="inlineStr">
        <is>
          <t>Wahpekute Sioux</t>
        </is>
      </c>
      <c r="E508" t="inlineStr">
        <is>
          <t>detailed</t>
        </is>
      </c>
      <c r="F508" t="inlineStr">
        <is>
          <t>primary</t>
        </is>
      </c>
      <c r="G508" t="inlineStr">
        <is>
          <t>required</t>
        </is>
      </c>
      <c r="H508" t="inlineStr">
        <is>
          <t>true</t>
        </is>
      </c>
      <c r="I508" t="inlineStr">
        <is>
          <t>595</t>
        </is>
      </c>
      <c r="J508" t="inlineStr">
        <is>
          <t>HL7 ValueSet expand (2026-06-09)</t>
        </is>
      </c>
      <c r="K508" t="inlineStr">
        <is>
          <t>false</t>
        </is>
      </c>
    </row>
    <row r="509">
      <c r="A509" t="inlineStr">
        <is>
          <t>Patient.race</t>
        </is>
      </c>
      <c r="B509" t="inlineStr">
        <is>
          <t>urn:oid:2.16.840.1.113883.6.238</t>
        </is>
      </c>
      <c r="C509" t="inlineStr">
        <is>
          <t>1638-6</t>
        </is>
      </c>
      <c r="D509" t="inlineStr">
        <is>
          <t>Wahpeton Sioux</t>
        </is>
      </c>
      <c r="E509" t="inlineStr">
        <is>
          <t>detailed</t>
        </is>
      </c>
      <c r="F509" t="inlineStr">
        <is>
          <t>primary</t>
        </is>
      </c>
      <c r="G509" t="inlineStr">
        <is>
          <t>required</t>
        </is>
      </c>
      <c r="H509" t="inlineStr">
        <is>
          <t>true</t>
        </is>
      </c>
      <c r="I509" t="inlineStr">
        <is>
          <t>596</t>
        </is>
      </c>
      <c r="J509" t="inlineStr">
        <is>
          <t>HL7 ValueSet expand (2026-06-09)</t>
        </is>
      </c>
      <c r="K509" t="inlineStr">
        <is>
          <t>false</t>
        </is>
      </c>
    </row>
    <row r="510">
      <c r="A510" t="inlineStr">
        <is>
          <t>Patient.race</t>
        </is>
      </c>
      <c r="B510" t="inlineStr">
        <is>
          <t>urn:oid:2.16.840.1.113883.6.238</t>
        </is>
      </c>
      <c r="C510" t="inlineStr">
        <is>
          <t>1639-4</t>
        </is>
      </c>
      <c r="D510" t="inlineStr">
        <is>
          <t>Wazhaza Sioux</t>
        </is>
      </c>
      <c r="E510" t="inlineStr">
        <is>
          <t>detailed</t>
        </is>
      </c>
      <c r="F510" t="inlineStr">
        <is>
          <t>primary</t>
        </is>
      </c>
      <c r="G510" t="inlineStr">
        <is>
          <t>required</t>
        </is>
      </c>
      <c r="H510" t="inlineStr">
        <is>
          <t>true</t>
        </is>
      </c>
      <c r="I510" t="inlineStr">
        <is>
          <t>597</t>
        </is>
      </c>
      <c r="J510" t="inlineStr">
        <is>
          <t>HL7 ValueSet expand (2026-06-09)</t>
        </is>
      </c>
      <c r="K510" t="inlineStr">
        <is>
          <t>false</t>
        </is>
      </c>
    </row>
    <row r="511">
      <c r="A511" t="inlineStr">
        <is>
          <t>Patient.race</t>
        </is>
      </c>
      <c r="B511" t="inlineStr">
        <is>
          <t>urn:oid:2.16.840.1.113883.6.238</t>
        </is>
      </c>
      <c r="C511" t="inlineStr">
        <is>
          <t>1640-2</t>
        </is>
      </c>
      <c r="D511" t="inlineStr">
        <is>
          <t>Yankton Sioux</t>
        </is>
      </c>
      <c r="E511" t="inlineStr">
        <is>
          <t>detailed</t>
        </is>
      </c>
      <c r="F511" t="inlineStr">
        <is>
          <t>primary</t>
        </is>
      </c>
      <c r="G511" t="inlineStr">
        <is>
          <t>required</t>
        </is>
      </c>
      <c r="H511" t="inlineStr">
        <is>
          <t>true</t>
        </is>
      </c>
      <c r="I511" t="inlineStr">
        <is>
          <t>598</t>
        </is>
      </c>
      <c r="J511" t="inlineStr">
        <is>
          <t>HL7 ValueSet expand (2026-06-09)</t>
        </is>
      </c>
      <c r="K511" t="inlineStr">
        <is>
          <t>false</t>
        </is>
      </c>
    </row>
    <row r="512">
      <c r="A512" t="inlineStr">
        <is>
          <t>Patient.race</t>
        </is>
      </c>
      <c r="B512" t="inlineStr">
        <is>
          <t>urn:oid:2.16.840.1.113883.6.238</t>
        </is>
      </c>
      <c r="C512" t="inlineStr">
        <is>
          <t>1641-0</t>
        </is>
      </c>
      <c r="D512" t="inlineStr">
        <is>
          <t>Yanktonai Sioux</t>
        </is>
      </c>
      <c r="E512" t="inlineStr">
        <is>
          <t>detailed</t>
        </is>
      </c>
      <c r="F512" t="inlineStr">
        <is>
          <t>primary</t>
        </is>
      </c>
      <c r="G512" t="inlineStr">
        <is>
          <t>required</t>
        </is>
      </c>
      <c r="H512" t="inlineStr">
        <is>
          <t>true</t>
        </is>
      </c>
      <c r="I512" t="inlineStr">
        <is>
          <t>599</t>
        </is>
      </c>
      <c r="J512" t="inlineStr">
        <is>
          <t>HL7 ValueSet expand (2026-06-09)</t>
        </is>
      </c>
      <c r="K512" t="inlineStr">
        <is>
          <t>false</t>
        </is>
      </c>
    </row>
    <row r="513">
      <c r="A513" t="inlineStr">
        <is>
          <t>Patient.race</t>
        </is>
      </c>
      <c r="B513" t="inlineStr">
        <is>
          <t>urn:oid:2.16.840.1.113883.6.238</t>
        </is>
      </c>
      <c r="C513" t="inlineStr">
        <is>
          <t>1643-6</t>
        </is>
      </c>
      <c r="D513" t="inlineStr">
        <is>
          <t>Siuslaw</t>
        </is>
      </c>
      <c r="E513" t="inlineStr">
        <is>
          <t>detailed</t>
        </is>
      </c>
      <c r="F513" t="inlineStr">
        <is>
          <t>primary</t>
        </is>
      </c>
      <c r="G513" t="inlineStr">
        <is>
          <t>required</t>
        </is>
      </c>
      <c r="H513" t="inlineStr">
        <is>
          <t>true</t>
        </is>
      </c>
      <c r="I513" t="inlineStr">
        <is>
          <t>600</t>
        </is>
      </c>
      <c r="J513" t="inlineStr">
        <is>
          <t>HL7 ValueSet expand (2026-06-09)</t>
        </is>
      </c>
      <c r="K513" t="inlineStr">
        <is>
          <t>false</t>
        </is>
      </c>
    </row>
    <row r="514">
      <c r="A514" t="inlineStr">
        <is>
          <t>Patient.race</t>
        </is>
      </c>
      <c r="B514" t="inlineStr">
        <is>
          <t>urn:oid:2.16.840.1.113883.6.238</t>
        </is>
      </c>
      <c r="C514" t="inlineStr">
        <is>
          <t>1645-1</t>
        </is>
      </c>
      <c r="D514" t="inlineStr">
        <is>
          <t>Spokane</t>
        </is>
      </c>
      <c r="E514" t="inlineStr">
        <is>
          <t>detailed</t>
        </is>
      </c>
      <c r="F514" t="inlineStr">
        <is>
          <t>primary</t>
        </is>
      </c>
      <c r="G514" t="inlineStr">
        <is>
          <t>required</t>
        </is>
      </c>
      <c r="H514" t="inlineStr">
        <is>
          <t>true</t>
        </is>
      </c>
      <c r="I514" t="inlineStr">
        <is>
          <t>601</t>
        </is>
      </c>
      <c r="J514" t="inlineStr">
        <is>
          <t>HL7 ValueSet expand (2026-06-09)</t>
        </is>
      </c>
      <c r="K514" t="inlineStr">
        <is>
          <t>false</t>
        </is>
      </c>
    </row>
    <row r="515">
      <c r="A515" t="inlineStr">
        <is>
          <t>Patient.race</t>
        </is>
      </c>
      <c r="B515" t="inlineStr">
        <is>
          <t>urn:oid:2.16.840.1.113883.6.238</t>
        </is>
      </c>
      <c r="C515" t="inlineStr">
        <is>
          <t>1647-7</t>
        </is>
      </c>
      <c r="D515" t="inlineStr">
        <is>
          <t>Stewart</t>
        </is>
      </c>
      <c r="E515" t="inlineStr">
        <is>
          <t>detailed</t>
        </is>
      </c>
      <c r="F515" t="inlineStr">
        <is>
          <t>primary</t>
        </is>
      </c>
      <c r="G515" t="inlineStr">
        <is>
          <t>required</t>
        </is>
      </c>
      <c r="H515" t="inlineStr">
        <is>
          <t>true</t>
        </is>
      </c>
      <c r="I515" t="inlineStr">
        <is>
          <t>602</t>
        </is>
      </c>
      <c r="J515" t="inlineStr">
        <is>
          <t>HL7 ValueSet expand (2026-06-09)</t>
        </is>
      </c>
      <c r="K515" t="inlineStr">
        <is>
          <t>false</t>
        </is>
      </c>
    </row>
    <row r="516">
      <c r="A516" t="inlineStr">
        <is>
          <t>Patient.race</t>
        </is>
      </c>
      <c r="B516" t="inlineStr">
        <is>
          <t>urn:oid:2.16.840.1.113883.6.238</t>
        </is>
      </c>
      <c r="C516" t="inlineStr">
        <is>
          <t>1649-3</t>
        </is>
      </c>
      <c r="D516" t="inlineStr">
        <is>
          <t>Stockbridge</t>
        </is>
      </c>
      <c r="E516" t="inlineStr">
        <is>
          <t>detailed</t>
        </is>
      </c>
      <c r="F516" t="inlineStr">
        <is>
          <t>primary</t>
        </is>
      </c>
      <c r="G516" t="inlineStr">
        <is>
          <t>required</t>
        </is>
      </c>
      <c r="H516" t="inlineStr">
        <is>
          <t>true</t>
        </is>
      </c>
      <c r="I516" t="inlineStr">
        <is>
          <t>603</t>
        </is>
      </c>
      <c r="J516" t="inlineStr">
        <is>
          <t>HL7 ValueSet expand (2026-06-09)</t>
        </is>
      </c>
      <c r="K516" t="inlineStr">
        <is>
          <t>false</t>
        </is>
      </c>
    </row>
    <row r="517">
      <c r="A517" t="inlineStr">
        <is>
          <t>Patient.race</t>
        </is>
      </c>
      <c r="B517" t="inlineStr">
        <is>
          <t>urn:oid:2.16.840.1.113883.6.238</t>
        </is>
      </c>
      <c r="C517" t="inlineStr">
        <is>
          <t>1651-9</t>
        </is>
      </c>
      <c r="D517" t="inlineStr">
        <is>
          <t>Susanville</t>
        </is>
      </c>
      <c r="E517" t="inlineStr">
        <is>
          <t>detailed</t>
        </is>
      </c>
      <c r="F517" t="inlineStr">
        <is>
          <t>primary</t>
        </is>
      </c>
      <c r="G517" t="inlineStr">
        <is>
          <t>required</t>
        </is>
      </c>
      <c r="H517" t="inlineStr">
        <is>
          <t>true</t>
        </is>
      </c>
      <c r="I517" t="inlineStr">
        <is>
          <t>604</t>
        </is>
      </c>
      <c r="J517" t="inlineStr">
        <is>
          <t>HL7 ValueSet expand (2026-06-09)</t>
        </is>
      </c>
      <c r="K517" t="inlineStr">
        <is>
          <t>false</t>
        </is>
      </c>
    </row>
    <row r="518">
      <c r="A518" t="inlineStr">
        <is>
          <t>Patient.race</t>
        </is>
      </c>
      <c r="B518" t="inlineStr">
        <is>
          <t>urn:oid:2.16.840.1.113883.6.238</t>
        </is>
      </c>
      <c r="C518" t="inlineStr">
        <is>
          <t>1653-5</t>
        </is>
      </c>
      <c r="D518" t="inlineStr">
        <is>
          <t>Tohono O'Odham</t>
        </is>
      </c>
      <c r="E518" t="inlineStr">
        <is>
          <t>detailed</t>
        </is>
      </c>
      <c r="F518" t="inlineStr">
        <is>
          <t>primary</t>
        </is>
      </c>
      <c r="G518" t="inlineStr">
        <is>
          <t>required</t>
        </is>
      </c>
      <c r="H518" t="inlineStr">
        <is>
          <t>true</t>
        </is>
      </c>
      <c r="I518" t="inlineStr">
        <is>
          <t>605</t>
        </is>
      </c>
      <c r="J518" t="inlineStr">
        <is>
          <t>HL7 ValueSet expand (2026-06-09)</t>
        </is>
      </c>
      <c r="K518" t="inlineStr">
        <is>
          <t>false</t>
        </is>
      </c>
    </row>
    <row r="519">
      <c r="A519" t="inlineStr">
        <is>
          <t>Patient.race</t>
        </is>
      </c>
      <c r="B519" t="inlineStr">
        <is>
          <t>urn:oid:2.16.840.1.113883.6.238</t>
        </is>
      </c>
      <c r="C519" t="inlineStr">
        <is>
          <t>1654-3</t>
        </is>
      </c>
      <c r="D519" t="inlineStr">
        <is>
          <t>Ak-Chin</t>
        </is>
      </c>
      <c r="E519" t="inlineStr">
        <is>
          <t>detailed</t>
        </is>
      </c>
      <c r="F519" t="inlineStr">
        <is>
          <t>primary</t>
        </is>
      </c>
      <c r="G519" t="inlineStr">
        <is>
          <t>required</t>
        </is>
      </c>
      <c r="H519" t="inlineStr">
        <is>
          <t>true</t>
        </is>
      </c>
      <c r="I519" t="inlineStr">
        <is>
          <t>606</t>
        </is>
      </c>
      <c r="J519" t="inlineStr">
        <is>
          <t>HL7 ValueSet expand (2026-06-09)</t>
        </is>
      </c>
      <c r="K519" t="inlineStr">
        <is>
          <t>false</t>
        </is>
      </c>
    </row>
    <row r="520">
      <c r="A520" t="inlineStr">
        <is>
          <t>Patient.race</t>
        </is>
      </c>
      <c r="B520" t="inlineStr">
        <is>
          <t>urn:oid:2.16.840.1.113883.6.238</t>
        </is>
      </c>
      <c r="C520" t="inlineStr">
        <is>
          <t>1655-0</t>
        </is>
      </c>
      <c r="D520" t="inlineStr">
        <is>
          <t>Gila Bend</t>
        </is>
      </c>
      <c r="E520" t="inlineStr">
        <is>
          <t>detailed</t>
        </is>
      </c>
      <c r="F520" t="inlineStr">
        <is>
          <t>primary</t>
        </is>
      </c>
      <c r="G520" t="inlineStr">
        <is>
          <t>required</t>
        </is>
      </c>
      <c r="H520" t="inlineStr">
        <is>
          <t>true</t>
        </is>
      </c>
      <c r="I520" t="inlineStr">
        <is>
          <t>607</t>
        </is>
      </c>
      <c r="J520" t="inlineStr">
        <is>
          <t>HL7 ValueSet expand (2026-06-09)</t>
        </is>
      </c>
      <c r="K520" t="inlineStr">
        <is>
          <t>false</t>
        </is>
      </c>
    </row>
    <row r="521">
      <c r="A521" t="inlineStr">
        <is>
          <t>Patient.race</t>
        </is>
      </c>
      <c r="B521" t="inlineStr">
        <is>
          <t>urn:oid:2.16.840.1.113883.6.238</t>
        </is>
      </c>
      <c r="C521" t="inlineStr">
        <is>
          <t>1656-8</t>
        </is>
      </c>
      <c r="D521" t="inlineStr">
        <is>
          <t>San Xavier</t>
        </is>
      </c>
      <c r="E521" t="inlineStr">
        <is>
          <t>detailed</t>
        </is>
      </c>
      <c r="F521" t="inlineStr">
        <is>
          <t>primary</t>
        </is>
      </c>
      <c r="G521" t="inlineStr">
        <is>
          <t>required</t>
        </is>
      </c>
      <c r="H521" t="inlineStr">
        <is>
          <t>true</t>
        </is>
      </c>
      <c r="I521" t="inlineStr">
        <is>
          <t>608</t>
        </is>
      </c>
      <c r="J521" t="inlineStr">
        <is>
          <t>HL7 ValueSet expand (2026-06-09)</t>
        </is>
      </c>
      <c r="K521" t="inlineStr">
        <is>
          <t>false</t>
        </is>
      </c>
    </row>
    <row r="522">
      <c r="A522" t="inlineStr">
        <is>
          <t>Patient.race</t>
        </is>
      </c>
      <c r="B522" t="inlineStr">
        <is>
          <t>urn:oid:2.16.840.1.113883.6.238</t>
        </is>
      </c>
      <c r="C522" t="inlineStr">
        <is>
          <t>1657-6</t>
        </is>
      </c>
      <c r="D522" t="inlineStr">
        <is>
          <t>Sells</t>
        </is>
      </c>
      <c r="E522" t="inlineStr">
        <is>
          <t>detailed</t>
        </is>
      </c>
      <c r="F522" t="inlineStr">
        <is>
          <t>primary</t>
        </is>
      </c>
      <c r="G522" t="inlineStr">
        <is>
          <t>required</t>
        </is>
      </c>
      <c r="H522" t="inlineStr">
        <is>
          <t>true</t>
        </is>
      </c>
      <c r="I522" t="inlineStr">
        <is>
          <t>609</t>
        </is>
      </c>
      <c r="J522" t="inlineStr">
        <is>
          <t>HL7 ValueSet expand (2026-06-09)</t>
        </is>
      </c>
      <c r="K522" t="inlineStr">
        <is>
          <t>false</t>
        </is>
      </c>
    </row>
    <row r="523">
      <c r="A523" t="inlineStr">
        <is>
          <t>Patient.race</t>
        </is>
      </c>
      <c r="B523" t="inlineStr">
        <is>
          <t>urn:oid:2.16.840.1.113883.6.238</t>
        </is>
      </c>
      <c r="C523" t="inlineStr">
        <is>
          <t>1659-2</t>
        </is>
      </c>
      <c r="D523" t="inlineStr">
        <is>
          <t>Tolowa</t>
        </is>
      </c>
      <c r="E523" t="inlineStr">
        <is>
          <t>detailed</t>
        </is>
      </c>
      <c r="F523" t="inlineStr">
        <is>
          <t>primary</t>
        </is>
      </c>
      <c r="G523" t="inlineStr">
        <is>
          <t>required</t>
        </is>
      </c>
      <c r="H523" t="inlineStr">
        <is>
          <t>true</t>
        </is>
      </c>
      <c r="I523" t="inlineStr">
        <is>
          <t>610</t>
        </is>
      </c>
      <c r="J523" t="inlineStr">
        <is>
          <t>HL7 ValueSet expand (2026-06-09)</t>
        </is>
      </c>
      <c r="K523" t="inlineStr">
        <is>
          <t>false</t>
        </is>
      </c>
    </row>
    <row r="524">
      <c r="A524" t="inlineStr">
        <is>
          <t>Patient.race</t>
        </is>
      </c>
      <c r="B524" t="inlineStr">
        <is>
          <t>urn:oid:2.16.840.1.113883.6.238</t>
        </is>
      </c>
      <c r="C524" t="inlineStr">
        <is>
          <t>1661-8</t>
        </is>
      </c>
      <c r="D524" t="inlineStr">
        <is>
          <t>Tonkawa</t>
        </is>
      </c>
      <c r="E524" t="inlineStr">
        <is>
          <t>detailed</t>
        </is>
      </c>
      <c r="F524" t="inlineStr">
        <is>
          <t>primary</t>
        </is>
      </c>
      <c r="G524" t="inlineStr">
        <is>
          <t>required</t>
        </is>
      </c>
      <c r="H524" t="inlineStr">
        <is>
          <t>true</t>
        </is>
      </c>
      <c r="I524" t="inlineStr">
        <is>
          <t>611</t>
        </is>
      </c>
      <c r="J524" t="inlineStr">
        <is>
          <t>HL7 ValueSet expand (2026-06-09)</t>
        </is>
      </c>
      <c r="K524" t="inlineStr">
        <is>
          <t>false</t>
        </is>
      </c>
    </row>
    <row r="525">
      <c r="A525" t="inlineStr">
        <is>
          <t>Patient.race</t>
        </is>
      </c>
      <c r="B525" t="inlineStr">
        <is>
          <t>urn:oid:2.16.840.1.113883.6.238</t>
        </is>
      </c>
      <c r="C525" t="inlineStr">
        <is>
          <t>1663-4</t>
        </is>
      </c>
      <c r="D525" t="inlineStr">
        <is>
          <t>Tygh</t>
        </is>
      </c>
      <c r="E525" t="inlineStr">
        <is>
          <t>detailed</t>
        </is>
      </c>
      <c r="F525" t="inlineStr">
        <is>
          <t>primary</t>
        </is>
      </c>
      <c r="G525" t="inlineStr">
        <is>
          <t>required</t>
        </is>
      </c>
      <c r="H525" t="inlineStr">
        <is>
          <t>true</t>
        </is>
      </c>
      <c r="I525" t="inlineStr">
        <is>
          <t>612</t>
        </is>
      </c>
      <c r="J525" t="inlineStr">
        <is>
          <t>HL7 ValueSet expand (2026-06-09)</t>
        </is>
      </c>
      <c r="K525" t="inlineStr">
        <is>
          <t>false</t>
        </is>
      </c>
    </row>
    <row r="526">
      <c r="A526" t="inlineStr">
        <is>
          <t>Patient.race</t>
        </is>
      </c>
      <c r="B526" t="inlineStr">
        <is>
          <t>urn:oid:2.16.840.1.113883.6.238</t>
        </is>
      </c>
      <c r="C526" t="inlineStr">
        <is>
          <t>1665-9</t>
        </is>
      </c>
      <c r="D526" t="inlineStr">
        <is>
          <t>Umatilla</t>
        </is>
      </c>
      <c r="E526" t="inlineStr">
        <is>
          <t>detailed</t>
        </is>
      </c>
      <c r="F526" t="inlineStr">
        <is>
          <t>primary</t>
        </is>
      </c>
      <c r="G526" t="inlineStr">
        <is>
          <t>required</t>
        </is>
      </c>
      <c r="H526" t="inlineStr">
        <is>
          <t>true</t>
        </is>
      </c>
      <c r="I526" t="inlineStr">
        <is>
          <t>613</t>
        </is>
      </c>
      <c r="J526" t="inlineStr">
        <is>
          <t>HL7 ValueSet expand (2026-06-09)</t>
        </is>
      </c>
      <c r="K526" t="inlineStr">
        <is>
          <t>false</t>
        </is>
      </c>
    </row>
    <row r="527">
      <c r="A527" t="inlineStr">
        <is>
          <t>Patient.race</t>
        </is>
      </c>
      <c r="B527" t="inlineStr">
        <is>
          <t>urn:oid:2.16.840.1.113883.6.238</t>
        </is>
      </c>
      <c r="C527" t="inlineStr">
        <is>
          <t>1667-5</t>
        </is>
      </c>
      <c r="D527" t="inlineStr">
        <is>
          <t>Umpqua</t>
        </is>
      </c>
      <c r="E527" t="inlineStr">
        <is>
          <t>detailed</t>
        </is>
      </c>
      <c r="F527" t="inlineStr">
        <is>
          <t>primary</t>
        </is>
      </c>
      <c r="G527" t="inlineStr">
        <is>
          <t>required</t>
        </is>
      </c>
      <c r="H527" t="inlineStr">
        <is>
          <t>true</t>
        </is>
      </c>
      <c r="I527" t="inlineStr">
        <is>
          <t>614</t>
        </is>
      </c>
      <c r="J527" t="inlineStr">
        <is>
          <t>HL7 ValueSet expand (2026-06-09)</t>
        </is>
      </c>
      <c r="K527" t="inlineStr">
        <is>
          <t>false</t>
        </is>
      </c>
    </row>
    <row r="528">
      <c r="A528" t="inlineStr">
        <is>
          <t>Patient.race</t>
        </is>
      </c>
      <c r="B528" t="inlineStr">
        <is>
          <t>urn:oid:2.16.840.1.113883.6.238</t>
        </is>
      </c>
      <c r="C528" t="inlineStr">
        <is>
          <t>1668-3</t>
        </is>
      </c>
      <c r="D528" t="inlineStr">
        <is>
          <t>Cow Creek Umpqua</t>
        </is>
      </c>
      <c r="E528" t="inlineStr">
        <is>
          <t>detailed</t>
        </is>
      </c>
      <c r="F528" t="inlineStr">
        <is>
          <t>primary</t>
        </is>
      </c>
      <c r="G528" t="inlineStr">
        <is>
          <t>required</t>
        </is>
      </c>
      <c r="H528" t="inlineStr">
        <is>
          <t>true</t>
        </is>
      </c>
      <c r="I528" t="inlineStr">
        <is>
          <t>615</t>
        </is>
      </c>
      <c r="J528" t="inlineStr">
        <is>
          <t>HL7 ValueSet expand (2026-06-09)</t>
        </is>
      </c>
      <c r="K528" t="inlineStr">
        <is>
          <t>false</t>
        </is>
      </c>
    </row>
    <row r="529">
      <c r="A529" t="inlineStr">
        <is>
          <t>Patient.race</t>
        </is>
      </c>
      <c r="B529" t="inlineStr">
        <is>
          <t>urn:oid:2.16.840.1.113883.6.238</t>
        </is>
      </c>
      <c r="C529" t="inlineStr">
        <is>
          <t>1670-9</t>
        </is>
      </c>
      <c r="D529" t="inlineStr">
        <is>
          <t>Ute</t>
        </is>
      </c>
      <c r="E529" t="inlineStr">
        <is>
          <t>detailed</t>
        </is>
      </c>
      <c r="F529" t="inlineStr">
        <is>
          <t>primary</t>
        </is>
      </c>
      <c r="G529" t="inlineStr">
        <is>
          <t>required</t>
        </is>
      </c>
      <c r="H529" t="inlineStr">
        <is>
          <t>true</t>
        </is>
      </c>
      <c r="I529" t="inlineStr">
        <is>
          <t>616</t>
        </is>
      </c>
      <c r="J529" t="inlineStr">
        <is>
          <t>HL7 ValueSet expand (2026-06-09)</t>
        </is>
      </c>
      <c r="K529" t="inlineStr">
        <is>
          <t>false</t>
        </is>
      </c>
    </row>
    <row r="530">
      <c r="A530" t="inlineStr">
        <is>
          <t>Patient.race</t>
        </is>
      </c>
      <c r="B530" t="inlineStr">
        <is>
          <t>urn:oid:2.16.840.1.113883.6.238</t>
        </is>
      </c>
      <c r="C530" t="inlineStr">
        <is>
          <t>1671-7</t>
        </is>
      </c>
      <c r="D530" t="inlineStr">
        <is>
          <t>Allen Canyon</t>
        </is>
      </c>
      <c r="E530" t="inlineStr">
        <is>
          <t>detailed</t>
        </is>
      </c>
      <c r="F530" t="inlineStr">
        <is>
          <t>primary</t>
        </is>
      </c>
      <c r="G530" t="inlineStr">
        <is>
          <t>required</t>
        </is>
      </c>
      <c r="H530" t="inlineStr">
        <is>
          <t>true</t>
        </is>
      </c>
      <c r="I530" t="inlineStr">
        <is>
          <t>617</t>
        </is>
      </c>
      <c r="J530" t="inlineStr">
        <is>
          <t>HL7 ValueSet expand (2026-06-09)</t>
        </is>
      </c>
      <c r="K530" t="inlineStr">
        <is>
          <t>false</t>
        </is>
      </c>
    </row>
    <row r="531">
      <c r="A531" t="inlineStr">
        <is>
          <t>Patient.race</t>
        </is>
      </c>
      <c r="B531" t="inlineStr">
        <is>
          <t>urn:oid:2.16.840.1.113883.6.238</t>
        </is>
      </c>
      <c r="C531" t="inlineStr">
        <is>
          <t>1672-5</t>
        </is>
      </c>
      <c r="D531" t="inlineStr">
        <is>
          <t>Uintah Ute</t>
        </is>
      </c>
      <c r="E531" t="inlineStr">
        <is>
          <t>detailed</t>
        </is>
      </c>
      <c r="F531" t="inlineStr">
        <is>
          <t>primary</t>
        </is>
      </c>
      <c r="G531" t="inlineStr">
        <is>
          <t>required</t>
        </is>
      </c>
      <c r="H531" t="inlineStr">
        <is>
          <t>true</t>
        </is>
      </c>
      <c r="I531" t="inlineStr">
        <is>
          <t>618</t>
        </is>
      </c>
      <c r="J531" t="inlineStr">
        <is>
          <t>HL7 ValueSet expand (2026-06-09)</t>
        </is>
      </c>
      <c r="K531" t="inlineStr">
        <is>
          <t>false</t>
        </is>
      </c>
    </row>
    <row r="532">
      <c r="A532" t="inlineStr">
        <is>
          <t>Patient.race</t>
        </is>
      </c>
      <c r="B532" t="inlineStr">
        <is>
          <t>urn:oid:2.16.840.1.113883.6.238</t>
        </is>
      </c>
      <c r="C532" t="inlineStr">
        <is>
          <t>1673-3</t>
        </is>
      </c>
      <c r="D532" t="inlineStr">
        <is>
          <t>Ute Mountain Ute</t>
        </is>
      </c>
      <c r="E532" t="inlineStr">
        <is>
          <t>detailed</t>
        </is>
      </c>
      <c r="F532" t="inlineStr">
        <is>
          <t>primary</t>
        </is>
      </c>
      <c r="G532" t="inlineStr">
        <is>
          <t>required</t>
        </is>
      </c>
      <c r="H532" t="inlineStr">
        <is>
          <t>true</t>
        </is>
      </c>
      <c r="I532" t="inlineStr">
        <is>
          <t>619</t>
        </is>
      </c>
      <c r="J532" t="inlineStr">
        <is>
          <t>HL7 ValueSet expand (2026-06-09)</t>
        </is>
      </c>
      <c r="K532" t="inlineStr">
        <is>
          <t>false</t>
        </is>
      </c>
    </row>
    <row r="533">
      <c r="A533" t="inlineStr">
        <is>
          <t>Patient.race</t>
        </is>
      </c>
      <c r="B533" t="inlineStr">
        <is>
          <t>urn:oid:2.16.840.1.113883.6.238</t>
        </is>
      </c>
      <c r="C533" t="inlineStr">
        <is>
          <t>1675-8</t>
        </is>
      </c>
      <c r="D533" t="inlineStr">
        <is>
          <t>Wailaki</t>
        </is>
      </c>
      <c r="E533" t="inlineStr">
        <is>
          <t>detailed</t>
        </is>
      </c>
      <c r="F533" t="inlineStr">
        <is>
          <t>primary</t>
        </is>
      </c>
      <c r="G533" t="inlineStr">
        <is>
          <t>required</t>
        </is>
      </c>
      <c r="H533" t="inlineStr">
        <is>
          <t>true</t>
        </is>
      </c>
      <c r="I533" t="inlineStr">
        <is>
          <t>620</t>
        </is>
      </c>
      <c r="J533" t="inlineStr">
        <is>
          <t>HL7 ValueSet expand (2026-06-09)</t>
        </is>
      </c>
      <c r="K533" t="inlineStr">
        <is>
          <t>false</t>
        </is>
      </c>
    </row>
    <row r="534">
      <c r="A534" t="inlineStr">
        <is>
          <t>Patient.race</t>
        </is>
      </c>
      <c r="B534" t="inlineStr">
        <is>
          <t>urn:oid:2.16.840.1.113883.6.238</t>
        </is>
      </c>
      <c r="C534" t="inlineStr">
        <is>
          <t>1677-4</t>
        </is>
      </c>
      <c r="D534" t="inlineStr">
        <is>
          <t>Walla-Walla</t>
        </is>
      </c>
      <c r="E534" t="inlineStr">
        <is>
          <t>detailed</t>
        </is>
      </c>
      <c r="F534" t="inlineStr">
        <is>
          <t>primary</t>
        </is>
      </c>
      <c r="G534" t="inlineStr">
        <is>
          <t>required</t>
        </is>
      </c>
      <c r="H534" t="inlineStr">
        <is>
          <t>true</t>
        </is>
      </c>
      <c r="I534" t="inlineStr">
        <is>
          <t>621</t>
        </is>
      </c>
      <c r="J534" t="inlineStr">
        <is>
          <t>HL7 ValueSet expand (2026-06-09)</t>
        </is>
      </c>
      <c r="K534" t="inlineStr">
        <is>
          <t>false</t>
        </is>
      </c>
    </row>
    <row r="535">
      <c r="A535" t="inlineStr">
        <is>
          <t>Patient.race</t>
        </is>
      </c>
      <c r="B535" t="inlineStr">
        <is>
          <t>urn:oid:2.16.840.1.113883.6.238</t>
        </is>
      </c>
      <c r="C535" t="inlineStr">
        <is>
          <t>1679-0</t>
        </is>
      </c>
      <c r="D535" t="inlineStr">
        <is>
          <t>Wampanoag</t>
        </is>
      </c>
      <c r="E535" t="inlineStr">
        <is>
          <t>detailed</t>
        </is>
      </c>
      <c r="F535" t="inlineStr">
        <is>
          <t>primary</t>
        </is>
      </c>
      <c r="G535" t="inlineStr">
        <is>
          <t>required</t>
        </is>
      </c>
      <c r="H535" t="inlineStr">
        <is>
          <t>true</t>
        </is>
      </c>
      <c r="I535" t="inlineStr">
        <is>
          <t>622</t>
        </is>
      </c>
      <c r="J535" t="inlineStr">
        <is>
          <t>HL7 ValueSet expand (2026-06-09)</t>
        </is>
      </c>
      <c r="K535" t="inlineStr">
        <is>
          <t>false</t>
        </is>
      </c>
    </row>
    <row r="536">
      <c r="A536" t="inlineStr">
        <is>
          <t>Patient.race</t>
        </is>
      </c>
      <c r="B536" t="inlineStr">
        <is>
          <t>urn:oid:2.16.840.1.113883.6.238</t>
        </is>
      </c>
      <c r="C536" t="inlineStr">
        <is>
          <t>1680-8</t>
        </is>
      </c>
      <c r="D536" t="inlineStr">
        <is>
          <t>Gay Head Wampanoag</t>
        </is>
      </c>
      <c r="E536" t="inlineStr">
        <is>
          <t>detailed</t>
        </is>
      </c>
      <c r="F536" t="inlineStr">
        <is>
          <t>primary</t>
        </is>
      </c>
      <c r="G536" t="inlineStr">
        <is>
          <t>required</t>
        </is>
      </c>
      <c r="H536" t="inlineStr">
        <is>
          <t>true</t>
        </is>
      </c>
      <c r="I536" t="inlineStr">
        <is>
          <t>623</t>
        </is>
      </c>
      <c r="J536" t="inlineStr">
        <is>
          <t>HL7 ValueSet expand (2026-06-09)</t>
        </is>
      </c>
      <c r="K536" t="inlineStr">
        <is>
          <t>false</t>
        </is>
      </c>
    </row>
    <row r="537">
      <c r="A537" t="inlineStr">
        <is>
          <t>Patient.race</t>
        </is>
      </c>
      <c r="B537" t="inlineStr">
        <is>
          <t>urn:oid:2.16.840.1.113883.6.238</t>
        </is>
      </c>
      <c r="C537" t="inlineStr">
        <is>
          <t>1681-6</t>
        </is>
      </c>
      <c r="D537" t="inlineStr">
        <is>
          <t>Mashpee Wampanoag</t>
        </is>
      </c>
      <c r="E537" t="inlineStr">
        <is>
          <t>detailed</t>
        </is>
      </c>
      <c r="F537" t="inlineStr">
        <is>
          <t>primary</t>
        </is>
      </c>
      <c r="G537" t="inlineStr">
        <is>
          <t>required</t>
        </is>
      </c>
      <c r="H537" t="inlineStr">
        <is>
          <t>true</t>
        </is>
      </c>
      <c r="I537" t="inlineStr">
        <is>
          <t>624</t>
        </is>
      </c>
      <c r="J537" t="inlineStr">
        <is>
          <t>HL7 ValueSet expand (2026-06-09)</t>
        </is>
      </c>
      <c r="K537" t="inlineStr">
        <is>
          <t>false</t>
        </is>
      </c>
    </row>
    <row r="538">
      <c r="A538" t="inlineStr">
        <is>
          <t>Patient.race</t>
        </is>
      </c>
      <c r="B538" t="inlineStr">
        <is>
          <t>urn:oid:2.16.840.1.113883.6.238</t>
        </is>
      </c>
      <c r="C538" t="inlineStr">
        <is>
          <t>1683-2</t>
        </is>
      </c>
      <c r="D538" t="inlineStr">
        <is>
          <t>Warm Springs</t>
        </is>
      </c>
      <c r="E538" t="inlineStr">
        <is>
          <t>detailed</t>
        </is>
      </c>
      <c r="F538" t="inlineStr">
        <is>
          <t>primary</t>
        </is>
      </c>
      <c r="G538" t="inlineStr">
        <is>
          <t>required</t>
        </is>
      </c>
      <c r="H538" t="inlineStr">
        <is>
          <t>true</t>
        </is>
      </c>
      <c r="I538" t="inlineStr">
        <is>
          <t>625</t>
        </is>
      </c>
      <c r="J538" t="inlineStr">
        <is>
          <t>HL7 ValueSet expand (2026-06-09)</t>
        </is>
      </c>
      <c r="K538" t="inlineStr">
        <is>
          <t>false</t>
        </is>
      </c>
    </row>
    <row r="539">
      <c r="A539" t="inlineStr">
        <is>
          <t>Patient.race</t>
        </is>
      </c>
      <c r="B539" t="inlineStr">
        <is>
          <t>urn:oid:2.16.840.1.113883.6.238</t>
        </is>
      </c>
      <c r="C539" t="inlineStr">
        <is>
          <t>1685-7</t>
        </is>
      </c>
      <c r="D539" t="inlineStr">
        <is>
          <t>Wascopum</t>
        </is>
      </c>
      <c r="E539" t="inlineStr">
        <is>
          <t>detailed</t>
        </is>
      </c>
      <c r="F539" t="inlineStr">
        <is>
          <t>primary</t>
        </is>
      </c>
      <c r="G539" t="inlineStr">
        <is>
          <t>required</t>
        </is>
      </c>
      <c r="H539" t="inlineStr">
        <is>
          <t>true</t>
        </is>
      </c>
      <c r="I539" t="inlineStr">
        <is>
          <t>626</t>
        </is>
      </c>
      <c r="J539" t="inlineStr">
        <is>
          <t>HL7 ValueSet expand (2026-06-09)</t>
        </is>
      </c>
      <c r="K539" t="inlineStr">
        <is>
          <t>false</t>
        </is>
      </c>
    </row>
    <row r="540">
      <c r="A540" t="inlineStr">
        <is>
          <t>Patient.race</t>
        </is>
      </c>
      <c r="B540" t="inlineStr">
        <is>
          <t>urn:oid:2.16.840.1.113883.6.238</t>
        </is>
      </c>
      <c r="C540" t="inlineStr">
        <is>
          <t>1687-3</t>
        </is>
      </c>
      <c r="D540" t="inlineStr">
        <is>
          <t>Washoe</t>
        </is>
      </c>
      <c r="E540" t="inlineStr">
        <is>
          <t>detailed</t>
        </is>
      </c>
      <c r="F540" t="inlineStr">
        <is>
          <t>primary</t>
        </is>
      </c>
      <c r="G540" t="inlineStr">
        <is>
          <t>required</t>
        </is>
      </c>
      <c r="H540" t="inlineStr">
        <is>
          <t>true</t>
        </is>
      </c>
      <c r="I540" t="inlineStr">
        <is>
          <t>627</t>
        </is>
      </c>
      <c r="J540" t="inlineStr">
        <is>
          <t>HL7 ValueSet expand (2026-06-09)</t>
        </is>
      </c>
      <c r="K540" t="inlineStr">
        <is>
          <t>false</t>
        </is>
      </c>
    </row>
    <row r="541">
      <c r="A541" t="inlineStr">
        <is>
          <t>Patient.race</t>
        </is>
      </c>
      <c r="B541" t="inlineStr">
        <is>
          <t>urn:oid:2.16.840.1.113883.6.238</t>
        </is>
      </c>
      <c r="C541" t="inlineStr">
        <is>
          <t>1688-1</t>
        </is>
      </c>
      <c r="D541" t="inlineStr">
        <is>
          <t>Alpine</t>
        </is>
      </c>
      <c r="E541" t="inlineStr">
        <is>
          <t>detailed</t>
        </is>
      </c>
      <c r="F541" t="inlineStr">
        <is>
          <t>primary</t>
        </is>
      </c>
      <c r="G541" t="inlineStr">
        <is>
          <t>required</t>
        </is>
      </c>
      <c r="H541" t="inlineStr">
        <is>
          <t>true</t>
        </is>
      </c>
      <c r="I541" t="inlineStr">
        <is>
          <t>628</t>
        </is>
      </c>
      <c r="J541" t="inlineStr">
        <is>
          <t>HL7 ValueSet expand (2026-06-09)</t>
        </is>
      </c>
      <c r="K541" t="inlineStr">
        <is>
          <t>false</t>
        </is>
      </c>
    </row>
    <row r="542">
      <c r="A542" t="inlineStr">
        <is>
          <t>Patient.race</t>
        </is>
      </c>
      <c r="B542" t="inlineStr">
        <is>
          <t>urn:oid:2.16.840.1.113883.6.238</t>
        </is>
      </c>
      <c r="C542" t="inlineStr">
        <is>
          <t>1689-9</t>
        </is>
      </c>
      <c r="D542" t="inlineStr">
        <is>
          <t>Carson</t>
        </is>
      </c>
      <c r="E542" t="inlineStr">
        <is>
          <t>detailed</t>
        </is>
      </c>
      <c r="F542" t="inlineStr">
        <is>
          <t>primary</t>
        </is>
      </c>
      <c r="G542" t="inlineStr">
        <is>
          <t>required</t>
        </is>
      </c>
      <c r="H542" t="inlineStr">
        <is>
          <t>true</t>
        </is>
      </c>
      <c r="I542" t="inlineStr">
        <is>
          <t>629</t>
        </is>
      </c>
      <c r="J542" t="inlineStr">
        <is>
          <t>HL7 ValueSet expand (2026-06-09)</t>
        </is>
      </c>
      <c r="K542" t="inlineStr">
        <is>
          <t>false</t>
        </is>
      </c>
    </row>
    <row r="543">
      <c r="A543" t="inlineStr">
        <is>
          <t>Patient.race</t>
        </is>
      </c>
      <c r="B543" t="inlineStr">
        <is>
          <t>urn:oid:2.16.840.1.113883.6.238</t>
        </is>
      </c>
      <c r="C543" t="inlineStr">
        <is>
          <t>1690-7</t>
        </is>
      </c>
      <c r="D543" t="inlineStr">
        <is>
          <t>Dresslerville</t>
        </is>
      </c>
      <c r="E543" t="inlineStr">
        <is>
          <t>detailed</t>
        </is>
      </c>
      <c r="F543" t="inlineStr">
        <is>
          <t>primary</t>
        </is>
      </c>
      <c r="G543" t="inlineStr">
        <is>
          <t>required</t>
        </is>
      </c>
      <c r="H543" t="inlineStr">
        <is>
          <t>true</t>
        </is>
      </c>
      <c r="I543" t="inlineStr">
        <is>
          <t>630</t>
        </is>
      </c>
      <c r="J543" t="inlineStr">
        <is>
          <t>HL7 ValueSet expand (2026-06-09)</t>
        </is>
      </c>
      <c r="K543" t="inlineStr">
        <is>
          <t>false</t>
        </is>
      </c>
    </row>
    <row r="544">
      <c r="A544" t="inlineStr">
        <is>
          <t>Patient.race</t>
        </is>
      </c>
      <c r="B544" t="inlineStr">
        <is>
          <t>urn:oid:2.16.840.1.113883.6.238</t>
        </is>
      </c>
      <c r="C544" t="inlineStr">
        <is>
          <t>1692-3</t>
        </is>
      </c>
      <c r="D544" t="inlineStr">
        <is>
          <t>Wichita</t>
        </is>
      </c>
      <c r="E544" t="inlineStr">
        <is>
          <t>detailed</t>
        </is>
      </c>
      <c r="F544" t="inlineStr">
        <is>
          <t>primary</t>
        </is>
      </c>
      <c r="G544" t="inlineStr">
        <is>
          <t>required</t>
        </is>
      </c>
      <c r="H544" t="inlineStr">
        <is>
          <t>true</t>
        </is>
      </c>
      <c r="I544" t="inlineStr">
        <is>
          <t>631</t>
        </is>
      </c>
      <c r="J544" t="inlineStr">
        <is>
          <t>HL7 ValueSet expand (2026-06-09)</t>
        </is>
      </c>
      <c r="K544" t="inlineStr">
        <is>
          <t>false</t>
        </is>
      </c>
    </row>
    <row r="545">
      <c r="A545" t="inlineStr">
        <is>
          <t>Patient.race</t>
        </is>
      </c>
      <c r="B545" t="inlineStr">
        <is>
          <t>urn:oid:2.16.840.1.113883.6.238</t>
        </is>
      </c>
      <c r="C545" t="inlineStr">
        <is>
          <t>1694-9</t>
        </is>
      </c>
      <c r="D545" t="inlineStr">
        <is>
          <t>Wind River</t>
        </is>
      </c>
      <c r="E545" t="inlineStr">
        <is>
          <t>detailed</t>
        </is>
      </c>
      <c r="F545" t="inlineStr">
        <is>
          <t>primary</t>
        </is>
      </c>
      <c r="G545" t="inlineStr">
        <is>
          <t>required</t>
        </is>
      </c>
      <c r="H545" t="inlineStr">
        <is>
          <t>true</t>
        </is>
      </c>
      <c r="I545" t="inlineStr">
        <is>
          <t>632</t>
        </is>
      </c>
      <c r="J545" t="inlineStr">
        <is>
          <t>HL7 ValueSet expand (2026-06-09)</t>
        </is>
      </c>
      <c r="K545" t="inlineStr">
        <is>
          <t>false</t>
        </is>
      </c>
    </row>
    <row r="546">
      <c r="A546" t="inlineStr">
        <is>
          <t>Patient.race</t>
        </is>
      </c>
      <c r="B546" t="inlineStr">
        <is>
          <t>urn:oid:2.16.840.1.113883.6.238</t>
        </is>
      </c>
      <c r="C546" t="inlineStr">
        <is>
          <t>1696-4</t>
        </is>
      </c>
      <c r="D546" t="inlineStr">
        <is>
          <t>Winnebago</t>
        </is>
      </c>
      <c r="E546" t="inlineStr">
        <is>
          <t>detailed</t>
        </is>
      </c>
      <c r="F546" t="inlineStr">
        <is>
          <t>primary</t>
        </is>
      </c>
      <c r="G546" t="inlineStr">
        <is>
          <t>required</t>
        </is>
      </c>
      <c r="H546" t="inlineStr">
        <is>
          <t>true</t>
        </is>
      </c>
      <c r="I546" t="inlineStr">
        <is>
          <t>633</t>
        </is>
      </c>
      <c r="J546" t="inlineStr">
        <is>
          <t>HL7 ValueSet expand (2026-06-09)</t>
        </is>
      </c>
      <c r="K546" t="inlineStr">
        <is>
          <t>false</t>
        </is>
      </c>
    </row>
    <row r="547">
      <c r="A547" t="inlineStr">
        <is>
          <t>Patient.race</t>
        </is>
      </c>
      <c r="B547" t="inlineStr">
        <is>
          <t>urn:oid:2.16.840.1.113883.6.238</t>
        </is>
      </c>
      <c r="C547" t="inlineStr">
        <is>
          <t>1697-2</t>
        </is>
      </c>
      <c r="D547" t="inlineStr">
        <is>
          <t>Ho-chunk</t>
        </is>
      </c>
      <c r="E547" t="inlineStr">
        <is>
          <t>detailed</t>
        </is>
      </c>
      <c r="F547" t="inlineStr">
        <is>
          <t>primary</t>
        </is>
      </c>
      <c r="G547" t="inlineStr">
        <is>
          <t>required</t>
        </is>
      </c>
      <c r="H547" t="inlineStr">
        <is>
          <t>true</t>
        </is>
      </c>
      <c r="I547" t="inlineStr">
        <is>
          <t>634</t>
        </is>
      </c>
      <c r="J547" t="inlineStr">
        <is>
          <t>HL7 ValueSet expand (2026-06-09)</t>
        </is>
      </c>
      <c r="K547" t="inlineStr">
        <is>
          <t>false</t>
        </is>
      </c>
    </row>
    <row r="548">
      <c r="A548" t="inlineStr">
        <is>
          <t>Patient.race</t>
        </is>
      </c>
      <c r="B548" t="inlineStr">
        <is>
          <t>urn:oid:2.16.840.1.113883.6.238</t>
        </is>
      </c>
      <c r="C548" t="inlineStr">
        <is>
          <t>1698-0</t>
        </is>
      </c>
      <c r="D548" t="inlineStr">
        <is>
          <t>Nebraska Winnebago</t>
        </is>
      </c>
      <c r="E548" t="inlineStr">
        <is>
          <t>detailed</t>
        </is>
      </c>
      <c r="F548" t="inlineStr">
        <is>
          <t>primary</t>
        </is>
      </c>
      <c r="G548" t="inlineStr">
        <is>
          <t>required</t>
        </is>
      </c>
      <c r="H548" t="inlineStr">
        <is>
          <t>true</t>
        </is>
      </c>
      <c r="I548" t="inlineStr">
        <is>
          <t>635</t>
        </is>
      </c>
      <c r="J548" t="inlineStr">
        <is>
          <t>HL7 ValueSet expand (2026-06-09)</t>
        </is>
      </c>
      <c r="K548" t="inlineStr">
        <is>
          <t>false</t>
        </is>
      </c>
    </row>
    <row r="549">
      <c r="A549" t="inlineStr">
        <is>
          <t>Patient.race</t>
        </is>
      </c>
      <c r="B549" t="inlineStr">
        <is>
          <t>urn:oid:2.16.840.1.113883.6.238</t>
        </is>
      </c>
      <c r="C549" t="inlineStr">
        <is>
          <t>1700-4</t>
        </is>
      </c>
      <c r="D549" t="inlineStr">
        <is>
          <t>Winnemucca</t>
        </is>
      </c>
      <c r="E549" t="inlineStr">
        <is>
          <t>detailed</t>
        </is>
      </c>
      <c r="F549" t="inlineStr">
        <is>
          <t>primary</t>
        </is>
      </c>
      <c r="G549" t="inlineStr">
        <is>
          <t>required</t>
        </is>
      </c>
      <c r="H549" t="inlineStr">
        <is>
          <t>true</t>
        </is>
      </c>
      <c r="I549" t="inlineStr">
        <is>
          <t>636</t>
        </is>
      </c>
      <c r="J549" t="inlineStr">
        <is>
          <t>HL7 ValueSet expand (2026-06-09)</t>
        </is>
      </c>
      <c r="K549" t="inlineStr">
        <is>
          <t>false</t>
        </is>
      </c>
    </row>
    <row r="550">
      <c r="A550" t="inlineStr">
        <is>
          <t>Patient.race</t>
        </is>
      </c>
      <c r="B550" t="inlineStr">
        <is>
          <t>urn:oid:2.16.840.1.113883.6.238</t>
        </is>
      </c>
      <c r="C550" t="inlineStr">
        <is>
          <t>1702-0</t>
        </is>
      </c>
      <c r="D550" t="inlineStr">
        <is>
          <t>Wintun</t>
        </is>
      </c>
      <c r="E550" t="inlineStr">
        <is>
          <t>detailed</t>
        </is>
      </c>
      <c r="F550" t="inlineStr">
        <is>
          <t>primary</t>
        </is>
      </c>
      <c r="G550" t="inlineStr">
        <is>
          <t>required</t>
        </is>
      </c>
      <c r="H550" t="inlineStr">
        <is>
          <t>true</t>
        </is>
      </c>
      <c r="I550" t="inlineStr">
        <is>
          <t>637</t>
        </is>
      </c>
      <c r="J550" t="inlineStr">
        <is>
          <t>HL7 ValueSet expand (2026-06-09)</t>
        </is>
      </c>
      <c r="K550" t="inlineStr">
        <is>
          <t>false</t>
        </is>
      </c>
    </row>
    <row r="551">
      <c r="A551" t="inlineStr">
        <is>
          <t>Patient.race</t>
        </is>
      </c>
      <c r="B551" t="inlineStr">
        <is>
          <t>urn:oid:2.16.840.1.113883.6.238</t>
        </is>
      </c>
      <c r="C551" t="inlineStr">
        <is>
          <t>1704-6</t>
        </is>
      </c>
      <c r="D551" t="inlineStr">
        <is>
          <t>Wiyot</t>
        </is>
      </c>
      <c r="E551" t="inlineStr">
        <is>
          <t>detailed</t>
        </is>
      </c>
      <c r="F551" t="inlineStr">
        <is>
          <t>primary</t>
        </is>
      </c>
      <c r="G551" t="inlineStr">
        <is>
          <t>required</t>
        </is>
      </c>
      <c r="H551" t="inlineStr">
        <is>
          <t>true</t>
        </is>
      </c>
      <c r="I551" t="inlineStr">
        <is>
          <t>638</t>
        </is>
      </c>
      <c r="J551" t="inlineStr">
        <is>
          <t>HL7 ValueSet expand (2026-06-09)</t>
        </is>
      </c>
      <c r="K551" t="inlineStr">
        <is>
          <t>false</t>
        </is>
      </c>
    </row>
    <row r="552">
      <c r="A552" t="inlineStr">
        <is>
          <t>Patient.race</t>
        </is>
      </c>
      <c r="B552" t="inlineStr">
        <is>
          <t>urn:oid:2.16.840.1.113883.6.238</t>
        </is>
      </c>
      <c r="C552" t="inlineStr">
        <is>
          <t>1705-3</t>
        </is>
      </c>
      <c r="D552" t="inlineStr">
        <is>
          <t>Table Bluff</t>
        </is>
      </c>
      <c r="E552" t="inlineStr">
        <is>
          <t>detailed</t>
        </is>
      </c>
      <c r="F552" t="inlineStr">
        <is>
          <t>primary</t>
        </is>
      </c>
      <c r="G552" t="inlineStr">
        <is>
          <t>required</t>
        </is>
      </c>
      <c r="H552" t="inlineStr">
        <is>
          <t>true</t>
        </is>
      </c>
      <c r="I552" t="inlineStr">
        <is>
          <t>639</t>
        </is>
      </c>
      <c r="J552" t="inlineStr">
        <is>
          <t>HL7 ValueSet expand (2026-06-09)</t>
        </is>
      </c>
      <c r="K552" t="inlineStr">
        <is>
          <t>false</t>
        </is>
      </c>
    </row>
    <row r="553">
      <c r="A553" t="inlineStr">
        <is>
          <t>Patient.race</t>
        </is>
      </c>
      <c r="B553" t="inlineStr">
        <is>
          <t>urn:oid:2.16.840.1.113883.6.238</t>
        </is>
      </c>
      <c r="C553" t="inlineStr">
        <is>
          <t>1707-9</t>
        </is>
      </c>
      <c r="D553" t="inlineStr">
        <is>
          <t>Yakama</t>
        </is>
      </c>
      <c r="E553" t="inlineStr">
        <is>
          <t>detailed</t>
        </is>
      </c>
      <c r="F553" t="inlineStr">
        <is>
          <t>primary</t>
        </is>
      </c>
      <c r="G553" t="inlineStr">
        <is>
          <t>required</t>
        </is>
      </c>
      <c r="H553" t="inlineStr">
        <is>
          <t>true</t>
        </is>
      </c>
      <c r="I553" t="inlineStr">
        <is>
          <t>640</t>
        </is>
      </c>
      <c r="J553" t="inlineStr">
        <is>
          <t>HL7 ValueSet expand (2026-06-09)</t>
        </is>
      </c>
      <c r="K553" t="inlineStr">
        <is>
          <t>false</t>
        </is>
      </c>
    </row>
    <row r="554">
      <c r="A554" t="inlineStr">
        <is>
          <t>Patient.race</t>
        </is>
      </c>
      <c r="B554" t="inlineStr">
        <is>
          <t>urn:oid:2.16.840.1.113883.6.238</t>
        </is>
      </c>
      <c r="C554" t="inlineStr">
        <is>
          <t>1709-5</t>
        </is>
      </c>
      <c r="D554" t="inlineStr">
        <is>
          <t>Yakama Cowlitz</t>
        </is>
      </c>
      <c r="E554" t="inlineStr">
        <is>
          <t>detailed</t>
        </is>
      </c>
      <c r="F554" t="inlineStr">
        <is>
          <t>primary</t>
        </is>
      </c>
      <c r="G554" t="inlineStr">
        <is>
          <t>required</t>
        </is>
      </c>
      <c r="H554" t="inlineStr">
        <is>
          <t>true</t>
        </is>
      </c>
      <c r="I554" t="inlineStr">
        <is>
          <t>641</t>
        </is>
      </c>
      <c r="J554" t="inlineStr">
        <is>
          <t>HL7 ValueSet expand (2026-06-09)</t>
        </is>
      </c>
      <c r="K554" t="inlineStr">
        <is>
          <t>false</t>
        </is>
      </c>
    </row>
    <row r="555">
      <c r="A555" t="inlineStr">
        <is>
          <t>Patient.race</t>
        </is>
      </c>
      <c r="B555" t="inlineStr">
        <is>
          <t>urn:oid:2.16.840.1.113883.6.238</t>
        </is>
      </c>
      <c r="C555" t="inlineStr">
        <is>
          <t>1711-1</t>
        </is>
      </c>
      <c r="D555" t="inlineStr">
        <is>
          <t>Yaqui</t>
        </is>
      </c>
      <c r="E555" t="inlineStr">
        <is>
          <t>detailed</t>
        </is>
      </c>
      <c r="F555" t="inlineStr">
        <is>
          <t>primary</t>
        </is>
      </c>
      <c r="G555" t="inlineStr">
        <is>
          <t>required</t>
        </is>
      </c>
      <c r="H555" t="inlineStr">
        <is>
          <t>true</t>
        </is>
      </c>
      <c r="I555" t="inlineStr">
        <is>
          <t>642</t>
        </is>
      </c>
      <c r="J555" t="inlineStr">
        <is>
          <t>HL7 ValueSet expand (2026-06-09)</t>
        </is>
      </c>
      <c r="K555" t="inlineStr">
        <is>
          <t>false</t>
        </is>
      </c>
    </row>
    <row r="556">
      <c r="A556" t="inlineStr">
        <is>
          <t>Patient.race</t>
        </is>
      </c>
      <c r="B556" t="inlineStr">
        <is>
          <t>urn:oid:2.16.840.1.113883.6.238</t>
        </is>
      </c>
      <c r="C556" t="inlineStr">
        <is>
          <t>1712-9</t>
        </is>
      </c>
      <c r="D556" t="inlineStr">
        <is>
          <t>Barrio Libre</t>
        </is>
      </c>
      <c r="E556" t="inlineStr">
        <is>
          <t>detailed</t>
        </is>
      </c>
      <c r="F556" t="inlineStr">
        <is>
          <t>primary</t>
        </is>
      </c>
      <c r="G556" t="inlineStr">
        <is>
          <t>required</t>
        </is>
      </c>
      <c r="H556" t="inlineStr">
        <is>
          <t>true</t>
        </is>
      </c>
      <c r="I556" t="inlineStr">
        <is>
          <t>643</t>
        </is>
      </c>
      <c r="J556" t="inlineStr">
        <is>
          <t>HL7 ValueSet expand (2026-06-09)</t>
        </is>
      </c>
      <c r="K556" t="inlineStr">
        <is>
          <t>false</t>
        </is>
      </c>
    </row>
    <row r="557">
      <c r="A557" t="inlineStr">
        <is>
          <t>Patient.race</t>
        </is>
      </c>
      <c r="B557" t="inlineStr">
        <is>
          <t>urn:oid:2.16.840.1.113883.6.238</t>
        </is>
      </c>
      <c r="C557" t="inlineStr">
        <is>
          <t>1713-7</t>
        </is>
      </c>
      <c r="D557" t="inlineStr">
        <is>
          <t>Pascua Yaqui</t>
        </is>
      </c>
      <c r="E557" t="inlineStr">
        <is>
          <t>detailed</t>
        </is>
      </c>
      <c r="F557" t="inlineStr">
        <is>
          <t>primary</t>
        </is>
      </c>
      <c r="G557" t="inlineStr">
        <is>
          <t>required</t>
        </is>
      </c>
      <c r="H557" t="inlineStr">
        <is>
          <t>true</t>
        </is>
      </c>
      <c r="I557" t="inlineStr">
        <is>
          <t>644</t>
        </is>
      </c>
      <c r="J557" t="inlineStr">
        <is>
          <t>HL7 ValueSet expand (2026-06-09)</t>
        </is>
      </c>
      <c r="K557" t="inlineStr">
        <is>
          <t>false</t>
        </is>
      </c>
    </row>
    <row r="558">
      <c r="A558" t="inlineStr">
        <is>
          <t>Patient.race</t>
        </is>
      </c>
      <c r="B558" t="inlineStr">
        <is>
          <t>urn:oid:2.16.840.1.113883.6.238</t>
        </is>
      </c>
      <c r="C558" t="inlineStr">
        <is>
          <t>1715-2</t>
        </is>
      </c>
      <c r="D558" t="inlineStr">
        <is>
          <t>Yavapai Apache</t>
        </is>
      </c>
      <c r="E558" t="inlineStr">
        <is>
          <t>detailed</t>
        </is>
      </c>
      <c r="F558" t="inlineStr">
        <is>
          <t>primary</t>
        </is>
      </c>
      <c r="G558" t="inlineStr">
        <is>
          <t>required</t>
        </is>
      </c>
      <c r="H558" t="inlineStr">
        <is>
          <t>true</t>
        </is>
      </c>
      <c r="I558" t="inlineStr">
        <is>
          <t>645</t>
        </is>
      </c>
      <c r="J558" t="inlineStr">
        <is>
          <t>HL7 ValueSet expand (2026-06-09)</t>
        </is>
      </c>
      <c r="K558" t="inlineStr">
        <is>
          <t>false</t>
        </is>
      </c>
    </row>
    <row r="559">
      <c r="A559" t="inlineStr">
        <is>
          <t>Patient.race</t>
        </is>
      </c>
      <c r="B559" t="inlineStr">
        <is>
          <t>urn:oid:2.16.840.1.113883.6.238</t>
        </is>
      </c>
      <c r="C559" t="inlineStr">
        <is>
          <t>1717-8</t>
        </is>
      </c>
      <c r="D559" t="inlineStr">
        <is>
          <t>Yokuts</t>
        </is>
      </c>
      <c r="E559" t="inlineStr">
        <is>
          <t>detailed</t>
        </is>
      </c>
      <c r="F559" t="inlineStr">
        <is>
          <t>primary</t>
        </is>
      </c>
      <c r="G559" t="inlineStr">
        <is>
          <t>required</t>
        </is>
      </c>
      <c r="H559" t="inlineStr">
        <is>
          <t>true</t>
        </is>
      </c>
      <c r="I559" t="inlineStr">
        <is>
          <t>646</t>
        </is>
      </c>
      <c r="J559" t="inlineStr">
        <is>
          <t>HL7 ValueSet expand (2026-06-09)</t>
        </is>
      </c>
      <c r="K559" t="inlineStr">
        <is>
          <t>false</t>
        </is>
      </c>
    </row>
    <row r="560">
      <c r="A560" t="inlineStr">
        <is>
          <t>Patient.race</t>
        </is>
      </c>
      <c r="B560" t="inlineStr">
        <is>
          <t>urn:oid:2.16.840.1.113883.6.238</t>
        </is>
      </c>
      <c r="C560" t="inlineStr">
        <is>
          <t>1718-6</t>
        </is>
      </c>
      <c r="D560" t="inlineStr">
        <is>
          <t>Chukchansi</t>
        </is>
      </c>
      <c r="E560" t="inlineStr">
        <is>
          <t>detailed</t>
        </is>
      </c>
      <c r="F560" t="inlineStr">
        <is>
          <t>primary</t>
        </is>
      </c>
      <c r="G560" t="inlineStr">
        <is>
          <t>required</t>
        </is>
      </c>
      <c r="H560" t="inlineStr">
        <is>
          <t>true</t>
        </is>
      </c>
      <c r="I560" t="inlineStr">
        <is>
          <t>647</t>
        </is>
      </c>
      <c r="J560" t="inlineStr">
        <is>
          <t>HL7 ValueSet expand (2026-06-09)</t>
        </is>
      </c>
      <c r="K560" t="inlineStr">
        <is>
          <t>false</t>
        </is>
      </c>
    </row>
    <row r="561">
      <c r="A561" t="inlineStr">
        <is>
          <t>Patient.race</t>
        </is>
      </c>
      <c r="B561" t="inlineStr">
        <is>
          <t>urn:oid:2.16.840.1.113883.6.238</t>
        </is>
      </c>
      <c r="C561" t="inlineStr">
        <is>
          <t>1719-4</t>
        </is>
      </c>
      <c r="D561" t="inlineStr">
        <is>
          <t>Tachi</t>
        </is>
      </c>
      <c r="E561" t="inlineStr">
        <is>
          <t>detailed</t>
        </is>
      </c>
      <c r="F561" t="inlineStr">
        <is>
          <t>primary</t>
        </is>
      </c>
      <c r="G561" t="inlineStr">
        <is>
          <t>required</t>
        </is>
      </c>
      <c r="H561" t="inlineStr">
        <is>
          <t>true</t>
        </is>
      </c>
      <c r="I561" t="inlineStr">
        <is>
          <t>648</t>
        </is>
      </c>
      <c r="J561" t="inlineStr">
        <is>
          <t>HL7 ValueSet expand (2026-06-09)</t>
        </is>
      </c>
      <c r="K561" t="inlineStr">
        <is>
          <t>false</t>
        </is>
      </c>
    </row>
    <row r="562">
      <c r="A562" t="inlineStr">
        <is>
          <t>Patient.race</t>
        </is>
      </c>
      <c r="B562" t="inlineStr">
        <is>
          <t>urn:oid:2.16.840.1.113883.6.238</t>
        </is>
      </c>
      <c r="C562" t="inlineStr">
        <is>
          <t>1720-2</t>
        </is>
      </c>
      <c r="D562" t="inlineStr">
        <is>
          <t>Tule River</t>
        </is>
      </c>
      <c r="E562" t="inlineStr">
        <is>
          <t>detailed</t>
        </is>
      </c>
      <c r="F562" t="inlineStr">
        <is>
          <t>primary</t>
        </is>
      </c>
      <c r="G562" t="inlineStr">
        <is>
          <t>required</t>
        </is>
      </c>
      <c r="H562" t="inlineStr">
        <is>
          <t>true</t>
        </is>
      </c>
      <c r="I562" t="inlineStr">
        <is>
          <t>649</t>
        </is>
      </c>
      <c r="J562" t="inlineStr">
        <is>
          <t>HL7 ValueSet expand (2026-06-09)</t>
        </is>
      </c>
      <c r="K562" t="inlineStr">
        <is>
          <t>false</t>
        </is>
      </c>
    </row>
    <row r="563">
      <c r="A563" t="inlineStr">
        <is>
          <t>Patient.race</t>
        </is>
      </c>
      <c r="B563" t="inlineStr">
        <is>
          <t>urn:oid:2.16.840.1.113883.6.238</t>
        </is>
      </c>
      <c r="C563" t="inlineStr">
        <is>
          <t>1722-8</t>
        </is>
      </c>
      <c r="D563" t="inlineStr">
        <is>
          <t>Yuchi</t>
        </is>
      </c>
      <c r="E563" t="inlineStr">
        <is>
          <t>detailed</t>
        </is>
      </c>
      <c r="F563" t="inlineStr">
        <is>
          <t>primary</t>
        </is>
      </c>
      <c r="G563" t="inlineStr">
        <is>
          <t>required</t>
        </is>
      </c>
      <c r="H563" t="inlineStr">
        <is>
          <t>true</t>
        </is>
      </c>
      <c r="I563" t="inlineStr">
        <is>
          <t>650</t>
        </is>
      </c>
      <c r="J563" t="inlineStr">
        <is>
          <t>HL7 ValueSet expand (2026-06-09)</t>
        </is>
      </c>
      <c r="K563" t="inlineStr">
        <is>
          <t>false</t>
        </is>
      </c>
    </row>
    <row r="564">
      <c r="A564" t="inlineStr">
        <is>
          <t>Patient.race</t>
        </is>
      </c>
      <c r="B564" t="inlineStr">
        <is>
          <t>urn:oid:2.16.840.1.113883.6.238</t>
        </is>
      </c>
      <c r="C564" t="inlineStr">
        <is>
          <t>1724-4</t>
        </is>
      </c>
      <c r="D564" t="inlineStr">
        <is>
          <t>Yuman</t>
        </is>
      </c>
      <c r="E564" t="inlineStr">
        <is>
          <t>detailed</t>
        </is>
      </c>
      <c r="F564" t="inlineStr">
        <is>
          <t>primary</t>
        </is>
      </c>
      <c r="G564" t="inlineStr">
        <is>
          <t>required</t>
        </is>
      </c>
      <c r="H564" t="inlineStr">
        <is>
          <t>true</t>
        </is>
      </c>
      <c r="I564" t="inlineStr">
        <is>
          <t>651</t>
        </is>
      </c>
      <c r="J564" t="inlineStr">
        <is>
          <t>HL7 ValueSet expand (2026-06-09)</t>
        </is>
      </c>
      <c r="K564" t="inlineStr">
        <is>
          <t>false</t>
        </is>
      </c>
    </row>
    <row r="565">
      <c r="A565" t="inlineStr">
        <is>
          <t>Patient.race</t>
        </is>
      </c>
      <c r="B565" t="inlineStr">
        <is>
          <t>urn:oid:2.16.840.1.113883.6.238</t>
        </is>
      </c>
      <c r="C565" t="inlineStr">
        <is>
          <t>1725-1</t>
        </is>
      </c>
      <c r="D565" t="inlineStr">
        <is>
          <t>Cocopah</t>
        </is>
      </c>
      <c r="E565" t="inlineStr">
        <is>
          <t>detailed</t>
        </is>
      </c>
      <c r="F565" t="inlineStr">
        <is>
          <t>primary</t>
        </is>
      </c>
      <c r="G565" t="inlineStr">
        <is>
          <t>required</t>
        </is>
      </c>
      <c r="H565" t="inlineStr">
        <is>
          <t>true</t>
        </is>
      </c>
      <c r="I565" t="inlineStr">
        <is>
          <t>652</t>
        </is>
      </c>
      <c r="J565" t="inlineStr">
        <is>
          <t>HL7 ValueSet expand (2026-06-09)</t>
        </is>
      </c>
      <c r="K565" t="inlineStr">
        <is>
          <t>false</t>
        </is>
      </c>
    </row>
    <row r="566">
      <c r="A566" t="inlineStr">
        <is>
          <t>Patient.race</t>
        </is>
      </c>
      <c r="B566" t="inlineStr">
        <is>
          <t>urn:oid:2.16.840.1.113883.6.238</t>
        </is>
      </c>
      <c r="C566" t="inlineStr">
        <is>
          <t>1726-9</t>
        </is>
      </c>
      <c r="D566" t="inlineStr">
        <is>
          <t>Havasupai</t>
        </is>
      </c>
      <c r="E566" t="inlineStr">
        <is>
          <t>detailed</t>
        </is>
      </c>
      <c r="F566" t="inlineStr">
        <is>
          <t>primary</t>
        </is>
      </c>
      <c r="G566" t="inlineStr">
        <is>
          <t>required</t>
        </is>
      </c>
      <c r="H566" t="inlineStr">
        <is>
          <t>true</t>
        </is>
      </c>
      <c r="I566" t="inlineStr">
        <is>
          <t>653</t>
        </is>
      </c>
      <c r="J566" t="inlineStr">
        <is>
          <t>HL7 ValueSet expand (2026-06-09)</t>
        </is>
      </c>
      <c r="K566" t="inlineStr">
        <is>
          <t>false</t>
        </is>
      </c>
    </row>
    <row r="567">
      <c r="A567" t="inlineStr">
        <is>
          <t>Patient.race</t>
        </is>
      </c>
      <c r="B567" t="inlineStr">
        <is>
          <t>urn:oid:2.16.840.1.113883.6.238</t>
        </is>
      </c>
      <c r="C567" t="inlineStr">
        <is>
          <t>1727-7</t>
        </is>
      </c>
      <c r="D567" t="inlineStr">
        <is>
          <t>Hualapai</t>
        </is>
      </c>
      <c r="E567" t="inlineStr">
        <is>
          <t>detailed</t>
        </is>
      </c>
      <c r="F567" t="inlineStr">
        <is>
          <t>primary</t>
        </is>
      </c>
      <c r="G567" t="inlineStr">
        <is>
          <t>required</t>
        </is>
      </c>
      <c r="H567" t="inlineStr">
        <is>
          <t>true</t>
        </is>
      </c>
      <c r="I567" t="inlineStr">
        <is>
          <t>654</t>
        </is>
      </c>
      <c r="J567" t="inlineStr">
        <is>
          <t>HL7 ValueSet expand (2026-06-09)</t>
        </is>
      </c>
      <c r="K567" t="inlineStr">
        <is>
          <t>false</t>
        </is>
      </c>
    </row>
    <row r="568">
      <c r="A568" t="inlineStr">
        <is>
          <t>Patient.race</t>
        </is>
      </c>
      <c r="B568" t="inlineStr">
        <is>
          <t>urn:oid:2.16.840.1.113883.6.238</t>
        </is>
      </c>
      <c r="C568" t="inlineStr">
        <is>
          <t>1728-5</t>
        </is>
      </c>
      <c r="D568" t="inlineStr">
        <is>
          <t>Maricopa</t>
        </is>
      </c>
      <c r="E568" t="inlineStr">
        <is>
          <t>detailed</t>
        </is>
      </c>
      <c r="F568" t="inlineStr">
        <is>
          <t>primary</t>
        </is>
      </c>
      <c r="G568" t="inlineStr">
        <is>
          <t>required</t>
        </is>
      </c>
      <c r="H568" t="inlineStr">
        <is>
          <t>true</t>
        </is>
      </c>
      <c r="I568" t="inlineStr">
        <is>
          <t>655</t>
        </is>
      </c>
      <c r="J568" t="inlineStr">
        <is>
          <t>HL7 ValueSet expand (2026-06-09)</t>
        </is>
      </c>
      <c r="K568" t="inlineStr">
        <is>
          <t>false</t>
        </is>
      </c>
    </row>
    <row r="569">
      <c r="A569" t="inlineStr">
        <is>
          <t>Patient.race</t>
        </is>
      </c>
      <c r="B569" t="inlineStr">
        <is>
          <t>urn:oid:2.16.840.1.113883.6.238</t>
        </is>
      </c>
      <c r="C569" t="inlineStr">
        <is>
          <t>1729-3</t>
        </is>
      </c>
      <c r="D569" t="inlineStr">
        <is>
          <t>Mohave</t>
        </is>
      </c>
      <c r="E569" t="inlineStr">
        <is>
          <t>detailed</t>
        </is>
      </c>
      <c r="F569" t="inlineStr">
        <is>
          <t>primary</t>
        </is>
      </c>
      <c r="G569" t="inlineStr">
        <is>
          <t>required</t>
        </is>
      </c>
      <c r="H569" t="inlineStr">
        <is>
          <t>true</t>
        </is>
      </c>
      <c r="I569" t="inlineStr">
        <is>
          <t>656</t>
        </is>
      </c>
      <c r="J569" t="inlineStr">
        <is>
          <t>HL7 ValueSet expand (2026-06-09)</t>
        </is>
      </c>
      <c r="K569" t="inlineStr">
        <is>
          <t>false</t>
        </is>
      </c>
    </row>
    <row r="570">
      <c r="A570" t="inlineStr">
        <is>
          <t>Patient.race</t>
        </is>
      </c>
      <c r="B570" t="inlineStr">
        <is>
          <t>urn:oid:2.16.840.1.113883.6.238</t>
        </is>
      </c>
      <c r="C570" t="inlineStr">
        <is>
          <t>1730-1</t>
        </is>
      </c>
      <c r="D570" t="inlineStr">
        <is>
          <t>Quechan</t>
        </is>
      </c>
      <c r="E570" t="inlineStr">
        <is>
          <t>detailed</t>
        </is>
      </c>
      <c r="F570" t="inlineStr">
        <is>
          <t>primary</t>
        </is>
      </c>
      <c r="G570" t="inlineStr">
        <is>
          <t>required</t>
        </is>
      </c>
      <c r="H570" t="inlineStr">
        <is>
          <t>true</t>
        </is>
      </c>
      <c r="I570" t="inlineStr">
        <is>
          <t>657</t>
        </is>
      </c>
      <c r="J570" t="inlineStr">
        <is>
          <t>HL7 ValueSet expand (2026-06-09)</t>
        </is>
      </c>
      <c r="K570" t="inlineStr">
        <is>
          <t>false</t>
        </is>
      </c>
    </row>
    <row r="571">
      <c r="A571" t="inlineStr">
        <is>
          <t>Patient.race</t>
        </is>
      </c>
      <c r="B571" t="inlineStr">
        <is>
          <t>urn:oid:2.16.840.1.113883.6.238</t>
        </is>
      </c>
      <c r="C571" t="inlineStr">
        <is>
          <t>1731-9</t>
        </is>
      </c>
      <c r="D571" t="inlineStr">
        <is>
          <t>Yavapai</t>
        </is>
      </c>
      <c r="E571" t="inlineStr">
        <is>
          <t>detailed</t>
        </is>
      </c>
      <c r="F571" t="inlineStr">
        <is>
          <t>primary</t>
        </is>
      </c>
      <c r="G571" t="inlineStr">
        <is>
          <t>required</t>
        </is>
      </c>
      <c r="H571" t="inlineStr">
        <is>
          <t>true</t>
        </is>
      </c>
      <c r="I571" t="inlineStr">
        <is>
          <t>658</t>
        </is>
      </c>
      <c r="J571" t="inlineStr">
        <is>
          <t>HL7 ValueSet expand (2026-06-09)</t>
        </is>
      </c>
      <c r="K571" t="inlineStr">
        <is>
          <t>false</t>
        </is>
      </c>
    </row>
    <row r="572">
      <c r="A572" t="inlineStr">
        <is>
          <t>Patient.race</t>
        </is>
      </c>
      <c r="B572" t="inlineStr">
        <is>
          <t>urn:oid:2.16.840.1.113883.6.238</t>
        </is>
      </c>
      <c r="C572" t="inlineStr">
        <is>
          <t>1732-7</t>
        </is>
      </c>
      <c r="D572" t="inlineStr">
        <is>
          <t>Yurok</t>
        </is>
      </c>
      <c r="E572" t="inlineStr">
        <is>
          <t>detailed</t>
        </is>
      </c>
      <c r="F572" t="inlineStr">
        <is>
          <t>primary</t>
        </is>
      </c>
      <c r="G572" t="inlineStr">
        <is>
          <t>required</t>
        </is>
      </c>
      <c r="H572" t="inlineStr">
        <is>
          <t>true</t>
        </is>
      </c>
      <c r="I572" t="inlineStr">
        <is>
          <t>659</t>
        </is>
      </c>
      <c r="J572" t="inlineStr">
        <is>
          <t>HL7 ValueSet expand (2026-06-09)</t>
        </is>
      </c>
      <c r="K572" t="inlineStr">
        <is>
          <t>false</t>
        </is>
      </c>
    </row>
    <row r="573">
      <c r="A573" t="inlineStr">
        <is>
          <t>Patient.race</t>
        </is>
      </c>
      <c r="B573" t="inlineStr">
        <is>
          <t>urn:oid:2.16.840.1.113883.6.238</t>
        </is>
      </c>
      <c r="C573" t="inlineStr">
        <is>
          <t>1733-5</t>
        </is>
      </c>
      <c r="D573" t="inlineStr">
        <is>
          <t>Coast Yurok</t>
        </is>
      </c>
      <c r="E573" t="inlineStr">
        <is>
          <t>detailed</t>
        </is>
      </c>
      <c r="F573" t="inlineStr">
        <is>
          <t>primary</t>
        </is>
      </c>
      <c r="G573" t="inlineStr">
        <is>
          <t>required</t>
        </is>
      </c>
      <c r="H573" t="inlineStr">
        <is>
          <t>true</t>
        </is>
      </c>
      <c r="I573" t="inlineStr">
        <is>
          <t>660</t>
        </is>
      </c>
      <c r="J573" t="inlineStr">
        <is>
          <t>HL7 ValueSet expand (2026-06-09)</t>
        </is>
      </c>
      <c r="K573" t="inlineStr">
        <is>
          <t>false</t>
        </is>
      </c>
    </row>
    <row r="574">
      <c r="A574" t="inlineStr">
        <is>
          <t>Patient.race</t>
        </is>
      </c>
      <c r="B574" t="inlineStr">
        <is>
          <t>urn:oid:2.16.840.1.113883.6.238</t>
        </is>
      </c>
      <c r="C574" t="inlineStr">
        <is>
          <t>1735-0</t>
        </is>
      </c>
      <c r="D574" t="inlineStr">
        <is>
          <t>Alaska Native</t>
        </is>
      </c>
      <c r="E574" t="inlineStr">
        <is>
          <t>detailed</t>
        </is>
      </c>
      <c r="F574" t="inlineStr">
        <is>
          <t>primary</t>
        </is>
      </c>
      <c r="G574" t="inlineStr">
        <is>
          <t>required</t>
        </is>
      </c>
      <c r="H574" t="inlineStr">
        <is>
          <t>true</t>
        </is>
      </c>
      <c r="I574" t="inlineStr">
        <is>
          <t>661</t>
        </is>
      </c>
      <c r="J574" t="inlineStr">
        <is>
          <t>HL7 ValueSet expand (2026-06-09)</t>
        </is>
      </c>
      <c r="K574" t="inlineStr">
        <is>
          <t>false</t>
        </is>
      </c>
    </row>
    <row r="575">
      <c r="A575" t="inlineStr">
        <is>
          <t>Patient.race</t>
        </is>
      </c>
      <c r="B575" t="inlineStr">
        <is>
          <t>urn:oid:2.16.840.1.113883.6.238</t>
        </is>
      </c>
      <c r="C575" t="inlineStr">
        <is>
          <t>1737-6</t>
        </is>
      </c>
      <c r="D575" t="inlineStr">
        <is>
          <t>Alaska Indian</t>
        </is>
      </c>
      <c r="E575" t="inlineStr">
        <is>
          <t>detailed</t>
        </is>
      </c>
      <c r="F575" t="inlineStr">
        <is>
          <t>primary</t>
        </is>
      </c>
      <c r="G575" t="inlineStr">
        <is>
          <t>required</t>
        </is>
      </c>
      <c r="H575" t="inlineStr">
        <is>
          <t>true</t>
        </is>
      </c>
      <c r="I575" t="inlineStr">
        <is>
          <t>662</t>
        </is>
      </c>
      <c r="J575" t="inlineStr">
        <is>
          <t>HL7 ValueSet expand (2026-06-09)</t>
        </is>
      </c>
      <c r="K575" t="inlineStr">
        <is>
          <t>false</t>
        </is>
      </c>
    </row>
    <row r="576">
      <c r="A576" t="inlineStr">
        <is>
          <t>Patient.race</t>
        </is>
      </c>
      <c r="B576" t="inlineStr">
        <is>
          <t>urn:oid:2.16.840.1.113883.6.238</t>
        </is>
      </c>
      <c r="C576" t="inlineStr">
        <is>
          <t>1739-2</t>
        </is>
      </c>
      <c r="D576" t="inlineStr">
        <is>
          <t>Alaskan Athabascan</t>
        </is>
      </c>
      <c r="E576" t="inlineStr">
        <is>
          <t>detailed</t>
        </is>
      </c>
      <c r="F576" t="inlineStr">
        <is>
          <t>primary</t>
        </is>
      </c>
      <c r="G576" t="inlineStr">
        <is>
          <t>required</t>
        </is>
      </c>
      <c r="H576" t="inlineStr">
        <is>
          <t>true</t>
        </is>
      </c>
      <c r="I576" t="inlineStr">
        <is>
          <t>663</t>
        </is>
      </c>
      <c r="J576" t="inlineStr">
        <is>
          <t>HL7 ValueSet expand (2026-06-09)</t>
        </is>
      </c>
      <c r="K576" t="inlineStr">
        <is>
          <t>false</t>
        </is>
      </c>
    </row>
    <row r="577">
      <c r="A577" t="inlineStr">
        <is>
          <t>Patient.race</t>
        </is>
      </c>
      <c r="B577" t="inlineStr">
        <is>
          <t>urn:oid:2.16.840.1.113883.6.238</t>
        </is>
      </c>
      <c r="C577" t="inlineStr">
        <is>
          <t>1740-0</t>
        </is>
      </c>
      <c r="D577" t="inlineStr">
        <is>
          <t>Ahtna</t>
        </is>
      </c>
      <c r="E577" t="inlineStr">
        <is>
          <t>detailed</t>
        </is>
      </c>
      <c r="F577" t="inlineStr">
        <is>
          <t>primary</t>
        </is>
      </c>
      <c r="G577" t="inlineStr">
        <is>
          <t>required</t>
        </is>
      </c>
      <c r="H577" t="inlineStr">
        <is>
          <t>true</t>
        </is>
      </c>
      <c r="I577" t="inlineStr">
        <is>
          <t>664</t>
        </is>
      </c>
      <c r="J577" t="inlineStr">
        <is>
          <t>HL7 ValueSet expand (2026-06-09)</t>
        </is>
      </c>
      <c r="K577" t="inlineStr">
        <is>
          <t>false</t>
        </is>
      </c>
    </row>
    <row r="578">
      <c r="A578" t="inlineStr">
        <is>
          <t>Patient.race</t>
        </is>
      </c>
      <c r="B578" t="inlineStr">
        <is>
          <t>urn:oid:2.16.840.1.113883.6.238</t>
        </is>
      </c>
      <c r="C578" t="inlineStr">
        <is>
          <t>1741-8</t>
        </is>
      </c>
      <c r="D578" t="inlineStr">
        <is>
          <t>Alatna</t>
        </is>
      </c>
      <c r="E578" t="inlineStr">
        <is>
          <t>detailed</t>
        </is>
      </c>
      <c r="F578" t="inlineStr">
        <is>
          <t>primary</t>
        </is>
      </c>
      <c r="G578" t="inlineStr">
        <is>
          <t>required</t>
        </is>
      </c>
      <c r="H578" t="inlineStr">
        <is>
          <t>true</t>
        </is>
      </c>
      <c r="I578" t="inlineStr">
        <is>
          <t>665</t>
        </is>
      </c>
      <c r="J578" t="inlineStr">
        <is>
          <t>HL7 ValueSet expand (2026-06-09)</t>
        </is>
      </c>
      <c r="K578" t="inlineStr">
        <is>
          <t>false</t>
        </is>
      </c>
    </row>
    <row r="579">
      <c r="A579" t="inlineStr">
        <is>
          <t>Patient.race</t>
        </is>
      </c>
      <c r="B579" t="inlineStr">
        <is>
          <t>urn:oid:2.16.840.1.113883.6.238</t>
        </is>
      </c>
      <c r="C579" t="inlineStr">
        <is>
          <t>1742-6</t>
        </is>
      </c>
      <c r="D579" t="inlineStr">
        <is>
          <t>Alexander</t>
        </is>
      </c>
      <c r="E579" t="inlineStr">
        <is>
          <t>detailed</t>
        </is>
      </c>
      <c r="F579" t="inlineStr">
        <is>
          <t>primary</t>
        </is>
      </c>
      <c r="G579" t="inlineStr">
        <is>
          <t>required</t>
        </is>
      </c>
      <c r="H579" t="inlineStr">
        <is>
          <t>true</t>
        </is>
      </c>
      <c r="I579" t="inlineStr">
        <is>
          <t>666</t>
        </is>
      </c>
      <c r="J579" t="inlineStr">
        <is>
          <t>HL7 ValueSet expand (2026-06-09)</t>
        </is>
      </c>
      <c r="K579" t="inlineStr">
        <is>
          <t>false</t>
        </is>
      </c>
    </row>
    <row r="580">
      <c r="A580" t="inlineStr">
        <is>
          <t>Patient.race</t>
        </is>
      </c>
      <c r="B580" t="inlineStr">
        <is>
          <t>urn:oid:2.16.840.1.113883.6.238</t>
        </is>
      </c>
      <c r="C580" t="inlineStr">
        <is>
          <t>1743-4</t>
        </is>
      </c>
      <c r="D580" t="inlineStr">
        <is>
          <t>Allakaket</t>
        </is>
      </c>
      <c r="E580" t="inlineStr">
        <is>
          <t>detailed</t>
        </is>
      </c>
      <c r="F580" t="inlineStr">
        <is>
          <t>primary</t>
        </is>
      </c>
      <c r="G580" t="inlineStr">
        <is>
          <t>required</t>
        </is>
      </c>
      <c r="H580" t="inlineStr">
        <is>
          <t>true</t>
        </is>
      </c>
      <c r="I580" t="inlineStr">
        <is>
          <t>667</t>
        </is>
      </c>
      <c r="J580" t="inlineStr">
        <is>
          <t>HL7 ValueSet expand (2026-06-09)</t>
        </is>
      </c>
      <c r="K580" t="inlineStr">
        <is>
          <t>false</t>
        </is>
      </c>
    </row>
    <row r="581">
      <c r="A581" t="inlineStr">
        <is>
          <t>Patient.race</t>
        </is>
      </c>
      <c r="B581" t="inlineStr">
        <is>
          <t>urn:oid:2.16.840.1.113883.6.238</t>
        </is>
      </c>
      <c r="C581" t="inlineStr">
        <is>
          <t>1744-2</t>
        </is>
      </c>
      <c r="D581" t="inlineStr">
        <is>
          <t>Alanvik</t>
        </is>
      </c>
      <c r="E581" t="inlineStr">
        <is>
          <t>detailed</t>
        </is>
      </c>
      <c r="F581" t="inlineStr">
        <is>
          <t>primary</t>
        </is>
      </c>
      <c r="G581" t="inlineStr">
        <is>
          <t>required</t>
        </is>
      </c>
      <c r="H581" t="inlineStr">
        <is>
          <t>true</t>
        </is>
      </c>
      <c r="I581" t="inlineStr">
        <is>
          <t>668</t>
        </is>
      </c>
      <c r="J581" t="inlineStr">
        <is>
          <t>HL7 ValueSet expand (2026-06-09)</t>
        </is>
      </c>
      <c r="K581" t="inlineStr">
        <is>
          <t>false</t>
        </is>
      </c>
    </row>
    <row r="582">
      <c r="A582" t="inlineStr">
        <is>
          <t>Patient.race</t>
        </is>
      </c>
      <c r="B582" t="inlineStr">
        <is>
          <t>urn:oid:2.16.840.1.113883.6.238</t>
        </is>
      </c>
      <c r="C582" t="inlineStr">
        <is>
          <t>1745-9</t>
        </is>
      </c>
      <c r="D582" t="inlineStr">
        <is>
          <t>Anvik</t>
        </is>
      </c>
      <c r="E582" t="inlineStr">
        <is>
          <t>detailed</t>
        </is>
      </c>
      <c r="F582" t="inlineStr">
        <is>
          <t>primary</t>
        </is>
      </c>
      <c r="G582" t="inlineStr">
        <is>
          <t>required</t>
        </is>
      </c>
      <c r="H582" t="inlineStr">
        <is>
          <t>true</t>
        </is>
      </c>
      <c r="I582" t="inlineStr">
        <is>
          <t>669</t>
        </is>
      </c>
      <c r="J582" t="inlineStr">
        <is>
          <t>HL7 ValueSet expand (2026-06-09)</t>
        </is>
      </c>
      <c r="K582" t="inlineStr">
        <is>
          <t>false</t>
        </is>
      </c>
    </row>
    <row r="583">
      <c r="A583" t="inlineStr">
        <is>
          <t>Patient.race</t>
        </is>
      </c>
      <c r="B583" t="inlineStr">
        <is>
          <t>urn:oid:2.16.840.1.113883.6.238</t>
        </is>
      </c>
      <c r="C583" t="inlineStr">
        <is>
          <t>1746-7</t>
        </is>
      </c>
      <c r="D583" t="inlineStr">
        <is>
          <t>Arctic</t>
        </is>
      </c>
      <c r="E583" t="inlineStr">
        <is>
          <t>detailed</t>
        </is>
      </c>
      <c r="F583" t="inlineStr">
        <is>
          <t>primary</t>
        </is>
      </c>
      <c r="G583" t="inlineStr">
        <is>
          <t>required</t>
        </is>
      </c>
      <c r="H583" t="inlineStr">
        <is>
          <t>true</t>
        </is>
      </c>
      <c r="I583" t="inlineStr">
        <is>
          <t>670</t>
        </is>
      </c>
      <c r="J583" t="inlineStr">
        <is>
          <t>HL7 ValueSet expand (2026-06-09)</t>
        </is>
      </c>
      <c r="K583" t="inlineStr">
        <is>
          <t>false</t>
        </is>
      </c>
    </row>
    <row r="584">
      <c r="A584" t="inlineStr">
        <is>
          <t>Patient.race</t>
        </is>
      </c>
      <c r="B584" t="inlineStr">
        <is>
          <t>urn:oid:2.16.840.1.113883.6.238</t>
        </is>
      </c>
      <c r="C584" t="inlineStr">
        <is>
          <t>1747-5</t>
        </is>
      </c>
      <c r="D584" t="inlineStr">
        <is>
          <t>Beaver</t>
        </is>
      </c>
      <c r="E584" t="inlineStr">
        <is>
          <t>detailed</t>
        </is>
      </c>
      <c r="F584" t="inlineStr">
        <is>
          <t>primary</t>
        </is>
      </c>
      <c r="G584" t="inlineStr">
        <is>
          <t>required</t>
        </is>
      </c>
      <c r="H584" t="inlineStr">
        <is>
          <t>true</t>
        </is>
      </c>
      <c r="I584" t="inlineStr">
        <is>
          <t>671</t>
        </is>
      </c>
      <c r="J584" t="inlineStr">
        <is>
          <t>HL7 ValueSet expand (2026-06-09)</t>
        </is>
      </c>
      <c r="K584" t="inlineStr">
        <is>
          <t>false</t>
        </is>
      </c>
    </row>
    <row r="585">
      <c r="A585" t="inlineStr">
        <is>
          <t>Patient.race</t>
        </is>
      </c>
      <c r="B585" t="inlineStr">
        <is>
          <t>urn:oid:2.16.840.1.113883.6.238</t>
        </is>
      </c>
      <c r="C585" t="inlineStr">
        <is>
          <t>1748-3</t>
        </is>
      </c>
      <c r="D585" t="inlineStr">
        <is>
          <t>Birch Creek</t>
        </is>
      </c>
      <c r="E585" t="inlineStr">
        <is>
          <t>detailed</t>
        </is>
      </c>
      <c r="F585" t="inlineStr">
        <is>
          <t>primary</t>
        </is>
      </c>
      <c r="G585" t="inlineStr">
        <is>
          <t>required</t>
        </is>
      </c>
      <c r="H585" t="inlineStr">
        <is>
          <t>true</t>
        </is>
      </c>
      <c r="I585" t="inlineStr">
        <is>
          <t>672</t>
        </is>
      </c>
      <c r="J585" t="inlineStr">
        <is>
          <t>HL7 ValueSet expand (2026-06-09)</t>
        </is>
      </c>
      <c r="K585" t="inlineStr">
        <is>
          <t>false</t>
        </is>
      </c>
    </row>
    <row r="586">
      <c r="A586" t="inlineStr">
        <is>
          <t>Patient.race</t>
        </is>
      </c>
      <c r="B586" t="inlineStr">
        <is>
          <t>urn:oid:2.16.840.1.113883.6.238</t>
        </is>
      </c>
      <c r="C586" t="inlineStr">
        <is>
          <t>1749-1</t>
        </is>
      </c>
      <c r="D586" t="inlineStr">
        <is>
          <t>Cantwell</t>
        </is>
      </c>
      <c r="E586" t="inlineStr">
        <is>
          <t>detailed</t>
        </is>
      </c>
      <c r="F586" t="inlineStr">
        <is>
          <t>primary</t>
        </is>
      </c>
      <c r="G586" t="inlineStr">
        <is>
          <t>required</t>
        </is>
      </c>
      <c r="H586" t="inlineStr">
        <is>
          <t>true</t>
        </is>
      </c>
      <c r="I586" t="inlineStr">
        <is>
          <t>673</t>
        </is>
      </c>
      <c r="J586" t="inlineStr">
        <is>
          <t>HL7 ValueSet expand (2026-06-09)</t>
        </is>
      </c>
      <c r="K586" t="inlineStr">
        <is>
          <t>false</t>
        </is>
      </c>
    </row>
    <row r="587">
      <c r="A587" t="inlineStr">
        <is>
          <t>Patient.race</t>
        </is>
      </c>
      <c r="B587" t="inlineStr">
        <is>
          <t>urn:oid:2.16.840.1.113883.6.238</t>
        </is>
      </c>
      <c r="C587" t="inlineStr">
        <is>
          <t>1750-9</t>
        </is>
      </c>
      <c r="D587" t="inlineStr">
        <is>
          <t>Chalkyitsik</t>
        </is>
      </c>
      <c r="E587" t="inlineStr">
        <is>
          <t>detailed</t>
        </is>
      </c>
      <c r="F587" t="inlineStr">
        <is>
          <t>primary</t>
        </is>
      </c>
      <c r="G587" t="inlineStr">
        <is>
          <t>required</t>
        </is>
      </c>
      <c r="H587" t="inlineStr">
        <is>
          <t>true</t>
        </is>
      </c>
      <c r="I587" t="inlineStr">
        <is>
          <t>674</t>
        </is>
      </c>
      <c r="J587" t="inlineStr">
        <is>
          <t>HL7 ValueSet expand (2026-06-09)</t>
        </is>
      </c>
      <c r="K587" t="inlineStr">
        <is>
          <t>false</t>
        </is>
      </c>
    </row>
    <row r="588">
      <c r="A588" t="inlineStr">
        <is>
          <t>Patient.race</t>
        </is>
      </c>
      <c r="B588" t="inlineStr">
        <is>
          <t>urn:oid:2.16.840.1.113883.6.238</t>
        </is>
      </c>
      <c r="C588" t="inlineStr">
        <is>
          <t>1751-7</t>
        </is>
      </c>
      <c r="D588" t="inlineStr">
        <is>
          <t>Chickaloon</t>
        </is>
      </c>
      <c r="E588" t="inlineStr">
        <is>
          <t>detailed</t>
        </is>
      </c>
      <c r="F588" t="inlineStr">
        <is>
          <t>primary</t>
        </is>
      </c>
      <c r="G588" t="inlineStr">
        <is>
          <t>required</t>
        </is>
      </c>
      <c r="H588" t="inlineStr">
        <is>
          <t>true</t>
        </is>
      </c>
      <c r="I588" t="inlineStr">
        <is>
          <t>675</t>
        </is>
      </c>
      <c r="J588" t="inlineStr">
        <is>
          <t>HL7 ValueSet expand (2026-06-09)</t>
        </is>
      </c>
      <c r="K588" t="inlineStr">
        <is>
          <t>false</t>
        </is>
      </c>
    </row>
    <row r="589">
      <c r="A589" t="inlineStr">
        <is>
          <t>Patient.race</t>
        </is>
      </c>
      <c r="B589" t="inlineStr">
        <is>
          <t>urn:oid:2.16.840.1.113883.6.238</t>
        </is>
      </c>
      <c r="C589" t="inlineStr">
        <is>
          <t>1752-5</t>
        </is>
      </c>
      <c r="D589" t="inlineStr">
        <is>
          <t>Chistochina</t>
        </is>
      </c>
      <c r="E589" t="inlineStr">
        <is>
          <t>detailed</t>
        </is>
      </c>
      <c r="F589" t="inlineStr">
        <is>
          <t>primary</t>
        </is>
      </c>
      <c r="G589" t="inlineStr">
        <is>
          <t>required</t>
        </is>
      </c>
      <c r="H589" t="inlineStr">
        <is>
          <t>true</t>
        </is>
      </c>
      <c r="I589" t="inlineStr">
        <is>
          <t>676</t>
        </is>
      </c>
      <c r="J589" t="inlineStr">
        <is>
          <t>HL7 ValueSet expand (2026-06-09)</t>
        </is>
      </c>
      <c r="K589" t="inlineStr">
        <is>
          <t>false</t>
        </is>
      </c>
    </row>
    <row r="590">
      <c r="A590" t="inlineStr">
        <is>
          <t>Patient.race</t>
        </is>
      </c>
      <c r="B590" t="inlineStr">
        <is>
          <t>urn:oid:2.16.840.1.113883.6.238</t>
        </is>
      </c>
      <c r="C590" t="inlineStr">
        <is>
          <t>1753-3</t>
        </is>
      </c>
      <c r="D590" t="inlineStr">
        <is>
          <t>Chitina</t>
        </is>
      </c>
      <c r="E590" t="inlineStr">
        <is>
          <t>detailed</t>
        </is>
      </c>
      <c r="F590" t="inlineStr">
        <is>
          <t>primary</t>
        </is>
      </c>
      <c r="G590" t="inlineStr">
        <is>
          <t>required</t>
        </is>
      </c>
      <c r="H590" t="inlineStr">
        <is>
          <t>true</t>
        </is>
      </c>
      <c r="I590" t="inlineStr">
        <is>
          <t>677</t>
        </is>
      </c>
      <c r="J590" t="inlineStr">
        <is>
          <t>HL7 ValueSet expand (2026-06-09)</t>
        </is>
      </c>
      <c r="K590" t="inlineStr">
        <is>
          <t>false</t>
        </is>
      </c>
    </row>
    <row r="591">
      <c r="A591" t="inlineStr">
        <is>
          <t>Patient.race</t>
        </is>
      </c>
      <c r="B591" t="inlineStr">
        <is>
          <t>urn:oid:2.16.840.1.113883.6.238</t>
        </is>
      </c>
      <c r="C591" t="inlineStr">
        <is>
          <t>1754-1</t>
        </is>
      </c>
      <c r="D591" t="inlineStr">
        <is>
          <t>Circle</t>
        </is>
      </c>
      <c r="E591" t="inlineStr">
        <is>
          <t>detailed</t>
        </is>
      </c>
      <c r="F591" t="inlineStr">
        <is>
          <t>primary</t>
        </is>
      </c>
      <c r="G591" t="inlineStr">
        <is>
          <t>required</t>
        </is>
      </c>
      <c r="H591" t="inlineStr">
        <is>
          <t>true</t>
        </is>
      </c>
      <c r="I591" t="inlineStr">
        <is>
          <t>678</t>
        </is>
      </c>
      <c r="J591" t="inlineStr">
        <is>
          <t>HL7 ValueSet expand (2026-06-09)</t>
        </is>
      </c>
      <c r="K591" t="inlineStr">
        <is>
          <t>false</t>
        </is>
      </c>
    </row>
    <row r="592">
      <c r="A592" t="inlineStr">
        <is>
          <t>Patient.race</t>
        </is>
      </c>
      <c r="B592" t="inlineStr">
        <is>
          <t>urn:oid:2.16.840.1.113883.6.238</t>
        </is>
      </c>
      <c r="C592" t="inlineStr">
        <is>
          <t>1755-8</t>
        </is>
      </c>
      <c r="D592" t="inlineStr">
        <is>
          <t>Cook Inlet</t>
        </is>
      </c>
      <c r="E592" t="inlineStr">
        <is>
          <t>detailed</t>
        </is>
      </c>
      <c r="F592" t="inlineStr">
        <is>
          <t>primary</t>
        </is>
      </c>
      <c r="G592" t="inlineStr">
        <is>
          <t>required</t>
        </is>
      </c>
      <c r="H592" t="inlineStr">
        <is>
          <t>true</t>
        </is>
      </c>
      <c r="I592" t="inlineStr">
        <is>
          <t>679</t>
        </is>
      </c>
      <c r="J592" t="inlineStr">
        <is>
          <t>HL7 ValueSet expand (2026-06-09)</t>
        </is>
      </c>
      <c r="K592" t="inlineStr">
        <is>
          <t>false</t>
        </is>
      </c>
    </row>
    <row r="593">
      <c r="A593" t="inlineStr">
        <is>
          <t>Patient.race</t>
        </is>
      </c>
      <c r="B593" t="inlineStr">
        <is>
          <t>urn:oid:2.16.840.1.113883.6.238</t>
        </is>
      </c>
      <c r="C593" t="inlineStr">
        <is>
          <t>1756-6</t>
        </is>
      </c>
      <c r="D593" t="inlineStr">
        <is>
          <t>Copper Center</t>
        </is>
      </c>
      <c r="E593" t="inlineStr">
        <is>
          <t>detailed</t>
        </is>
      </c>
      <c r="F593" t="inlineStr">
        <is>
          <t>primary</t>
        </is>
      </c>
      <c r="G593" t="inlineStr">
        <is>
          <t>required</t>
        </is>
      </c>
      <c r="H593" t="inlineStr">
        <is>
          <t>true</t>
        </is>
      </c>
      <c r="I593" t="inlineStr">
        <is>
          <t>680</t>
        </is>
      </c>
      <c r="J593" t="inlineStr">
        <is>
          <t>HL7 ValueSet expand (2026-06-09)</t>
        </is>
      </c>
      <c r="K593" t="inlineStr">
        <is>
          <t>false</t>
        </is>
      </c>
    </row>
    <row r="594">
      <c r="A594" t="inlineStr">
        <is>
          <t>Patient.race</t>
        </is>
      </c>
      <c r="B594" t="inlineStr">
        <is>
          <t>urn:oid:2.16.840.1.113883.6.238</t>
        </is>
      </c>
      <c r="C594" t="inlineStr">
        <is>
          <t>1757-4</t>
        </is>
      </c>
      <c r="D594" t="inlineStr">
        <is>
          <t>Copper River</t>
        </is>
      </c>
      <c r="E594" t="inlineStr">
        <is>
          <t>detailed</t>
        </is>
      </c>
      <c r="F594" t="inlineStr">
        <is>
          <t>primary</t>
        </is>
      </c>
      <c r="G594" t="inlineStr">
        <is>
          <t>required</t>
        </is>
      </c>
      <c r="H594" t="inlineStr">
        <is>
          <t>true</t>
        </is>
      </c>
      <c r="I594" t="inlineStr">
        <is>
          <t>681</t>
        </is>
      </c>
      <c r="J594" t="inlineStr">
        <is>
          <t>HL7 ValueSet expand (2026-06-09)</t>
        </is>
      </c>
      <c r="K594" t="inlineStr">
        <is>
          <t>false</t>
        </is>
      </c>
    </row>
    <row r="595">
      <c r="A595" t="inlineStr">
        <is>
          <t>Patient.race</t>
        </is>
      </c>
      <c r="B595" t="inlineStr">
        <is>
          <t>urn:oid:2.16.840.1.113883.6.238</t>
        </is>
      </c>
      <c r="C595" t="inlineStr">
        <is>
          <t>1758-2</t>
        </is>
      </c>
      <c r="D595" t="inlineStr">
        <is>
          <t>Dot Lake</t>
        </is>
      </c>
      <c r="E595" t="inlineStr">
        <is>
          <t>detailed</t>
        </is>
      </c>
      <c r="F595" t="inlineStr">
        <is>
          <t>primary</t>
        </is>
      </c>
      <c r="G595" t="inlineStr">
        <is>
          <t>required</t>
        </is>
      </c>
      <c r="H595" t="inlineStr">
        <is>
          <t>true</t>
        </is>
      </c>
      <c r="I595" t="inlineStr">
        <is>
          <t>682</t>
        </is>
      </c>
      <c r="J595" t="inlineStr">
        <is>
          <t>HL7 ValueSet expand (2026-06-09)</t>
        </is>
      </c>
      <c r="K595" t="inlineStr">
        <is>
          <t>false</t>
        </is>
      </c>
    </row>
    <row r="596">
      <c r="A596" t="inlineStr">
        <is>
          <t>Patient.race</t>
        </is>
      </c>
      <c r="B596" t="inlineStr">
        <is>
          <t>urn:oid:2.16.840.1.113883.6.238</t>
        </is>
      </c>
      <c r="C596" t="inlineStr">
        <is>
          <t>1759-0</t>
        </is>
      </c>
      <c r="D596" t="inlineStr">
        <is>
          <t>Doyon</t>
        </is>
      </c>
      <c r="E596" t="inlineStr">
        <is>
          <t>detailed</t>
        </is>
      </c>
      <c r="F596" t="inlineStr">
        <is>
          <t>primary</t>
        </is>
      </c>
      <c r="G596" t="inlineStr">
        <is>
          <t>required</t>
        </is>
      </c>
      <c r="H596" t="inlineStr">
        <is>
          <t>true</t>
        </is>
      </c>
      <c r="I596" t="inlineStr">
        <is>
          <t>683</t>
        </is>
      </c>
      <c r="J596" t="inlineStr">
        <is>
          <t>HL7 ValueSet expand (2026-06-09)</t>
        </is>
      </c>
      <c r="K596" t="inlineStr">
        <is>
          <t>false</t>
        </is>
      </c>
    </row>
    <row r="597">
      <c r="A597" t="inlineStr">
        <is>
          <t>Patient.race</t>
        </is>
      </c>
      <c r="B597" t="inlineStr">
        <is>
          <t>urn:oid:2.16.840.1.113883.6.238</t>
        </is>
      </c>
      <c r="C597" t="inlineStr">
        <is>
          <t>1760-8</t>
        </is>
      </c>
      <c r="D597" t="inlineStr">
        <is>
          <t>Eagle</t>
        </is>
      </c>
      <c r="E597" t="inlineStr">
        <is>
          <t>detailed</t>
        </is>
      </c>
      <c r="F597" t="inlineStr">
        <is>
          <t>primary</t>
        </is>
      </c>
      <c r="G597" t="inlineStr">
        <is>
          <t>required</t>
        </is>
      </c>
      <c r="H597" t="inlineStr">
        <is>
          <t>true</t>
        </is>
      </c>
      <c r="I597" t="inlineStr">
        <is>
          <t>684</t>
        </is>
      </c>
      <c r="J597" t="inlineStr">
        <is>
          <t>HL7 ValueSet expand (2026-06-09)</t>
        </is>
      </c>
      <c r="K597" t="inlineStr">
        <is>
          <t>false</t>
        </is>
      </c>
    </row>
    <row r="598">
      <c r="A598" t="inlineStr">
        <is>
          <t>Patient.race</t>
        </is>
      </c>
      <c r="B598" t="inlineStr">
        <is>
          <t>urn:oid:2.16.840.1.113883.6.238</t>
        </is>
      </c>
      <c r="C598" t="inlineStr">
        <is>
          <t>1761-6</t>
        </is>
      </c>
      <c r="D598" t="inlineStr">
        <is>
          <t>Eklutna</t>
        </is>
      </c>
      <c r="E598" t="inlineStr">
        <is>
          <t>detailed</t>
        </is>
      </c>
      <c r="F598" t="inlineStr">
        <is>
          <t>primary</t>
        </is>
      </c>
      <c r="G598" t="inlineStr">
        <is>
          <t>required</t>
        </is>
      </c>
      <c r="H598" t="inlineStr">
        <is>
          <t>true</t>
        </is>
      </c>
      <c r="I598" t="inlineStr">
        <is>
          <t>685</t>
        </is>
      </c>
      <c r="J598" t="inlineStr">
        <is>
          <t>HL7 ValueSet expand (2026-06-09)</t>
        </is>
      </c>
      <c r="K598" t="inlineStr">
        <is>
          <t>false</t>
        </is>
      </c>
    </row>
    <row r="599">
      <c r="A599" t="inlineStr">
        <is>
          <t>Patient.race</t>
        </is>
      </c>
      <c r="B599" t="inlineStr">
        <is>
          <t>urn:oid:2.16.840.1.113883.6.238</t>
        </is>
      </c>
      <c r="C599" t="inlineStr">
        <is>
          <t>1762-4</t>
        </is>
      </c>
      <c r="D599" t="inlineStr">
        <is>
          <t>Evansville</t>
        </is>
      </c>
      <c r="E599" t="inlineStr">
        <is>
          <t>detailed</t>
        </is>
      </c>
      <c r="F599" t="inlineStr">
        <is>
          <t>primary</t>
        </is>
      </c>
      <c r="G599" t="inlineStr">
        <is>
          <t>required</t>
        </is>
      </c>
      <c r="H599" t="inlineStr">
        <is>
          <t>true</t>
        </is>
      </c>
      <c r="I599" t="inlineStr">
        <is>
          <t>686</t>
        </is>
      </c>
      <c r="J599" t="inlineStr">
        <is>
          <t>HL7 ValueSet expand (2026-06-09)</t>
        </is>
      </c>
      <c r="K599" t="inlineStr">
        <is>
          <t>false</t>
        </is>
      </c>
    </row>
    <row r="600">
      <c r="A600" t="inlineStr">
        <is>
          <t>Patient.race</t>
        </is>
      </c>
      <c r="B600" t="inlineStr">
        <is>
          <t>urn:oid:2.16.840.1.113883.6.238</t>
        </is>
      </c>
      <c r="C600" t="inlineStr">
        <is>
          <t>1763-2</t>
        </is>
      </c>
      <c r="D600" t="inlineStr">
        <is>
          <t>Fort Yukon</t>
        </is>
      </c>
      <c r="E600" t="inlineStr">
        <is>
          <t>detailed</t>
        </is>
      </c>
      <c r="F600" t="inlineStr">
        <is>
          <t>primary</t>
        </is>
      </c>
      <c r="G600" t="inlineStr">
        <is>
          <t>required</t>
        </is>
      </c>
      <c r="H600" t="inlineStr">
        <is>
          <t>true</t>
        </is>
      </c>
      <c r="I600" t="inlineStr">
        <is>
          <t>687</t>
        </is>
      </c>
      <c r="J600" t="inlineStr">
        <is>
          <t>HL7 ValueSet expand (2026-06-09)</t>
        </is>
      </c>
      <c r="K600" t="inlineStr">
        <is>
          <t>false</t>
        </is>
      </c>
    </row>
    <row r="601">
      <c r="A601" t="inlineStr">
        <is>
          <t>Patient.race</t>
        </is>
      </c>
      <c r="B601" t="inlineStr">
        <is>
          <t>urn:oid:2.16.840.1.113883.6.238</t>
        </is>
      </c>
      <c r="C601" t="inlineStr">
        <is>
          <t>1764-0</t>
        </is>
      </c>
      <c r="D601" t="inlineStr">
        <is>
          <t>Gakona</t>
        </is>
      </c>
      <c r="E601" t="inlineStr">
        <is>
          <t>detailed</t>
        </is>
      </c>
      <c r="F601" t="inlineStr">
        <is>
          <t>primary</t>
        </is>
      </c>
      <c r="G601" t="inlineStr">
        <is>
          <t>required</t>
        </is>
      </c>
      <c r="H601" t="inlineStr">
        <is>
          <t>true</t>
        </is>
      </c>
      <c r="I601" t="inlineStr">
        <is>
          <t>688</t>
        </is>
      </c>
      <c r="J601" t="inlineStr">
        <is>
          <t>HL7 ValueSet expand (2026-06-09)</t>
        </is>
      </c>
      <c r="K601" t="inlineStr">
        <is>
          <t>false</t>
        </is>
      </c>
    </row>
    <row r="602">
      <c r="A602" t="inlineStr">
        <is>
          <t>Patient.race</t>
        </is>
      </c>
      <c r="B602" t="inlineStr">
        <is>
          <t>urn:oid:2.16.840.1.113883.6.238</t>
        </is>
      </c>
      <c r="C602" t="inlineStr">
        <is>
          <t>1765-7</t>
        </is>
      </c>
      <c r="D602" t="inlineStr">
        <is>
          <t>Galena</t>
        </is>
      </c>
      <c r="E602" t="inlineStr">
        <is>
          <t>detailed</t>
        </is>
      </c>
      <c r="F602" t="inlineStr">
        <is>
          <t>primary</t>
        </is>
      </c>
      <c r="G602" t="inlineStr">
        <is>
          <t>required</t>
        </is>
      </c>
      <c r="H602" t="inlineStr">
        <is>
          <t>true</t>
        </is>
      </c>
      <c r="I602" t="inlineStr">
        <is>
          <t>689</t>
        </is>
      </c>
      <c r="J602" t="inlineStr">
        <is>
          <t>HL7 ValueSet expand (2026-06-09)</t>
        </is>
      </c>
      <c r="K602" t="inlineStr">
        <is>
          <t>false</t>
        </is>
      </c>
    </row>
    <row r="603">
      <c r="A603" t="inlineStr">
        <is>
          <t>Patient.race</t>
        </is>
      </c>
      <c r="B603" t="inlineStr">
        <is>
          <t>urn:oid:2.16.840.1.113883.6.238</t>
        </is>
      </c>
      <c r="C603" t="inlineStr">
        <is>
          <t>1766-5</t>
        </is>
      </c>
      <c r="D603" t="inlineStr">
        <is>
          <t>Grayling</t>
        </is>
      </c>
      <c r="E603" t="inlineStr">
        <is>
          <t>detailed</t>
        </is>
      </c>
      <c r="F603" t="inlineStr">
        <is>
          <t>primary</t>
        </is>
      </c>
      <c r="G603" t="inlineStr">
        <is>
          <t>required</t>
        </is>
      </c>
      <c r="H603" t="inlineStr">
        <is>
          <t>true</t>
        </is>
      </c>
      <c r="I603" t="inlineStr">
        <is>
          <t>690</t>
        </is>
      </c>
      <c r="J603" t="inlineStr">
        <is>
          <t>HL7 ValueSet expand (2026-06-09)</t>
        </is>
      </c>
      <c r="K603" t="inlineStr">
        <is>
          <t>false</t>
        </is>
      </c>
    </row>
    <row r="604">
      <c r="A604" t="inlineStr">
        <is>
          <t>Patient.race</t>
        </is>
      </c>
      <c r="B604" t="inlineStr">
        <is>
          <t>urn:oid:2.16.840.1.113883.6.238</t>
        </is>
      </c>
      <c r="C604" t="inlineStr">
        <is>
          <t>1767-3</t>
        </is>
      </c>
      <c r="D604" t="inlineStr">
        <is>
          <t>Gulkana</t>
        </is>
      </c>
      <c r="E604" t="inlineStr">
        <is>
          <t>detailed</t>
        </is>
      </c>
      <c r="F604" t="inlineStr">
        <is>
          <t>primary</t>
        </is>
      </c>
      <c r="G604" t="inlineStr">
        <is>
          <t>required</t>
        </is>
      </c>
      <c r="H604" t="inlineStr">
        <is>
          <t>true</t>
        </is>
      </c>
      <c r="I604" t="inlineStr">
        <is>
          <t>691</t>
        </is>
      </c>
      <c r="J604" t="inlineStr">
        <is>
          <t>HL7 ValueSet expand (2026-06-09)</t>
        </is>
      </c>
      <c r="K604" t="inlineStr">
        <is>
          <t>false</t>
        </is>
      </c>
    </row>
    <row r="605">
      <c r="A605" t="inlineStr">
        <is>
          <t>Patient.race</t>
        </is>
      </c>
      <c r="B605" t="inlineStr">
        <is>
          <t>urn:oid:2.16.840.1.113883.6.238</t>
        </is>
      </c>
      <c r="C605" t="inlineStr">
        <is>
          <t>1768-1</t>
        </is>
      </c>
      <c r="D605" t="inlineStr">
        <is>
          <t>Healy Lake</t>
        </is>
      </c>
      <c r="E605" t="inlineStr">
        <is>
          <t>detailed</t>
        </is>
      </c>
      <c r="F605" t="inlineStr">
        <is>
          <t>primary</t>
        </is>
      </c>
      <c r="G605" t="inlineStr">
        <is>
          <t>required</t>
        </is>
      </c>
      <c r="H605" t="inlineStr">
        <is>
          <t>true</t>
        </is>
      </c>
      <c r="I605" t="inlineStr">
        <is>
          <t>692</t>
        </is>
      </c>
      <c r="J605" t="inlineStr">
        <is>
          <t>HL7 ValueSet expand (2026-06-09)</t>
        </is>
      </c>
      <c r="K605" t="inlineStr">
        <is>
          <t>false</t>
        </is>
      </c>
    </row>
    <row r="606">
      <c r="A606" t="inlineStr">
        <is>
          <t>Patient.race</t>
        </is>
      </c>
      <c r="B606" t="inlineStr">
        <is>
          <t>urn:oid:2.16.840.1.113883.6.238</t>
        </is>
      </c>
      <c r="C606" t="inlineStr">
        <is>
          <t>1769-9</t>
        </is>
      </c>
      <c r="D606" t="inlineStr">
        <is>
          <t>Holy Cross</t>
        </is>
      </c>
      <c r="E606" t="inlineStr">
        <is>
          <t>detailed</t>
        </is>
      </c>
      <c r="F606" t="inlineStr">
        <is>
          <t>primary</t>
        </is>
      </c>
      <c r="G606" t="inlineStr">
        <is>
          <t>required</t>
        </is>
      </c>
      <c r="H606" t="inlineStr">
        <is>
          <t>true</t>
        </is>
      </c>
      <c r="I606" t="inlineStr">
        <is>
          <t>693</t>
        </is>
      </c>
      <c r="J606" t="inlineStr">
        <is>
          <t>HL7 ValueSet expand (2026-06-09)</t>
        </is>
      </c>
      <c r="K606" t="inlineStr">
        <is>
          <t>false</t>
        </is>
      </c>
    </row>
    <row r="607">
      <c r="A607" t="inlineStr">
        <is>
          <t>Patient.race</t>
        </is>
      </c>
      <c r="B607" t="inlineStr">
        <is>
          <t>urn:oid:2.16.840.1.113883.6.238</t>
        </is>
      </c>
      <c r="C607" t="inlineStr">
        <is>
          <t>1770-7</t>
        </is>
      </c>
      <c r="D607" t="inlineStr">
        <is>
          <t>Hughes</t>
        </is>
      </c>
      <c r="E607" t="inlineStr">
        <is>
          <t>detailed</t>
        </is>
      </c>
      <c r="F607" t="inlineStr">
        <is>
          <t>primary</t>
        </is>
      </c>
      <c r="G607" t="inlineStr">
        <is>
          <t>required</t>
        </is>
      </c>
      <c r="H607" t="inlineStr">
        <is>
          <t>true</t>
        </is>
      </c>
      <c r="I607" t="inlineStr">
        <is>
          <t>694</t>
        </is>
      </c>
      <c r="J607" t="inlineStr">
        <is>
          <t>HL7 ValueSet expand (2026-06-09)</t>
        </is>
      </c>
      <c r="K607" t="inlineStr">
        <is>
          <t>false</t>
        </is>
      </c>
    </row>
    <row r="608">
      <c r="A608" t="inlineStr">
        <is>
          <t>Patient.race</t>
        </is>
      </c>
      <c r="B608" t="inlineStr">
        <is>
          <t>urn:oid:2.16.840.1.113883.6.238</t>
        </is>
      </c>
      <c r="C608" t="inlineStr">
        <is>
          <t>1771-5</t>
        </is>
      </c>
      <c r="D608" t="inlineStr">
        <is>
          <t>Huslia</t>
        </is>
      </c>
      <c r="E608" t="inlineStr">
        <is>
          <t>detailed</t>
        </is>
      </c>
      <c r="F608" t="inlineStr">
        <is>
          <t>primary</t>
        </is>
      </c>
      <c r="G608" t="inlineStr">
        <is>
          <t>required</t>
        </is>
      </c>
      <c r="H608" t="inlineStr">
        <is>
          <t>true</t>
        </is>
      </c>
      <c r="I608" t="inlineStr">
        <is>
          <t>695</t>
        </is>
      </c>
      <c r="J608" t="inlineStr">
        <is>
          <t>HL7 ValueSet expand (2026-06-09)</t>
        </is>
      </c>
      <c r="K608" t="inlineStr">
        <is>
          <t>false</t>
        </is>
      </c>
    </row>
    <row r="609">
      <c r="A609" t="inlineStr">
        <is>
          <t>Patient.race</t>
        </is>
      </c>
      <c r="B609" t="inlineStr">
        <is>
          <t>urn:oid:2.16.840.1.113883.6.238</t>
        </is>
      </c>
      <c r="C609" t="inlineStr">
        <is>
          <t>1772-3</t>
        </is>
      </c>
      <c r="D609" t="inlineStr">
        <is>
          <t>Iliamna</t>
        </is>
      </c>
      <c r="E609" t="inlineStr">
        <is>
          <t>detailed</t>
        </is>
      </c>
      <c r="F609" t="inlineStr">
        <is>
          <t>primary</t>
        </is>
      </c>
      <c r="G609" t="inlineStr">
        <is>
          <t>required</t>
        </is>
      </c>
      <c r="H609" t="inlineStr">
        <is>
          <t>true</t>
        </is>
      </c>
      <c r="I609" t="inlineStr">
        <is>
          <t>696</t>
        </is>
      </c>
      <c r="J609" t="inlineStr">
        <is>
          <t>HL7 ValueSet expand (2026-06-09)</t>
        </is>
      </c>
      <c r="K609" t="inlineStr">
        <is>
          <t>false</t>
        </is>
      </c>
    </row>
    <row r="610">
      <c r="A610" t="inlineStr">
        <is>
          <t>Patient.race</t>
        </is>
      </c>
      <c r="B610" t="inlineStr">
        <is>
          <t>urn:oid:2.16.840.1.113883.6.238</t>
        </is>
      </c>
      <c r="C610" t="inlineStr">
        <is>
          <t>1773-1</t>
        </is>
      </c>
      <c r="D610" t="inlineStr">
        <is>
          <t>Kaltag</t>
        </is>
      </c>
      <c r="E610" t="inlineStr">
        <is>
          <t>detailed</t>
        </is>
      </c>
      <c r="F610" t="inlineStr">
        <is>
          <t>primary</t>
        </is>
      </c>
      <c r="G610" t="inlineStr">
        <is>
          <t>required</t>
        </is>
      </c>
      <c r="H610" t="inlineStr">
        <is>
          <t>true</t>
        </is>
      </c>
      <c r="I610" t="inlineStr">
        <is>
          <t>697</t>
        </is>
      </c>
      <c r="J610" t="inlineStr">
        <is>
          <t>HL7 ValueSet expand (2026-06-09)</t>
        </is>
      </c>
      <c r="K610" t="inlineStr">
        <is>
          <t>false</t>
        </is>
      </c>
    </row>
    <row r="611">
      <c r="A611" t="inlineStr">
        <is>
          <t>Patient.race</t>
        </is>
      </c>
      <c r="B611" t="inlineStr">
        <is>
          <t>urn:oid:2.16.840.1.113883.6.238</t>
        </is>
      </c>
      <c r="C611" t="inlineStr">
        <is>
          <t>1774-9</t>
        </is>
      </c>
      <c r="D611" t="inlineStr">
        <is>
          <t>Kluti Kaah</t>
        </is>
      </c>
      <c r="E611" t="inlineStr">
        <is>
          <t>detailed</t>
        </is>
      </c>
      <c r="F611" t="inlineStr">
        <is>
          <t>primary</t>
        </is>
      </c>
      <c r="G611" t="inlineStr">
        <is>
          <t>required</t>
        </is>
      </c>
      <c r="H611" t="inlineStr">
        <is>
          <t>true</t>
        </is>
      </c>
      <c r="I611" t="inlineStr">
        <is>
          <t>698</t>
        </is>
      </c>
      <c r="J611" t="inlineStr">
        <is>
          <t>HL7 ValueSet expand (2026-06-09)</t>
        </is>
      </c>
      <c r="K611" t="inlineStr">
        <is>
          <t>false</t>
        </is>
      </c>
    </row>
    <row r="612">
      <c r="A612" t="inlineStr">
        <is>
          <t>Patient.race</t>
        </is>
      </c>
      <c r="B612" t="inlineStr">
        <is>
          <t>urn:oid:2.16.840.1.113883.6.238</t>
        </is>
      </c>
      <c r="C612" t="inlineStr">
        <is>
          <t>1775-6</t>
        </is>
      </c>
      <c r="D612" t="inlineStr">
        <is>
          <t>Knik</t>
        </is>
      </c>
      <c r="E612" t="inlineStr">
        <is>
          <t>detailed</t>
        </is>
      </c>
      <c r="F612" t="inlineStr">
        <is>
          <t>primary</t>
        </is>
      </c>
      <c r="G612" t="inlineStr">
        <is>
          <t>required</t>
        </is>
      </c>
      <c r="H612" t="inlineStr">
        <is>
          <t>true</t>
        </is>
      </c>
      <c r="I612" t="inlineStr">
        <is>
          <t>699</t>
        </is>
      </c>
      <c r="J612" t="inlineStr">
        <is>
          <t>HL7 ValueSet expand (2026-06-09)</t>
        </is>
      </c>
      <c r="K612" t="inlineStr">
        <is>
          <t>false</t>
        </is>
      </c>
    </row>
    <row r="613">
      <c r="A613" t="inlineStr">
        <is>
          <t>Patient.race</t>
        </is>
      </c>
      <c r="B613" t="inlineStr">
        <is>
          <t>urn:oid:2.16.840.1.113883.6.238</t>
        </is>
      </c>
      <c r="C613" t="inlineStr">
        <is>
          <t>1776-4</t>
        </is>
      </c>
      <c r="D613" t="inlineStr">
        <is>
          <t>Koyukuk</t>
        </is>
      </c>
      <c r="E613" t="inlineStr">
        <is>
          <t>detailed</t>
        </is>
      </c>
      <c r="F613" t="inlineStr">
        <is>
          <t>primary</t>
        </is>
      </c>
      <c r="G613" t="inlineStr">
        <is>
          <t>required</t>
        </is>
      </c>
      <c r="H613" t="inlineStr">
        <is>
          <t>true</t>
        </is>
      </c>
      <c r="I613" t="inlineStr">
        <is>
          <t>700</t>
        </is>
      </c>
      <c r="J613" t="inlineStr">
        <is>
          <t>HL7 ValueSet expand (2026-06-09)</t>
        </is>
      </c>
      <c r="K613" t="inlineStr">
        <is>
          <t>false</t>
        </is>
      </c>
    </row>
    <row r="614">
      <c r="A614" t="inlineStr">
        <is>
          <t>Patient.race</t>
        </is>
      </c>
      <c r="B614" t="inlineStr">
        <is>
          <t>urn:oid:2.16.840.1.113883.6.238</t>
        </is>
      </c>
      <c r="C614" t="inlineStr">
        <is>
          <t>1777-2</t>
        </is>
      </c>
      <c r="D614" t="inlineStr">
        <is>
          <t>Lake Minchumina</t>
        </is>
      </c>
      <c r="E614" t="inlineStr">
        <is>
          <t>detailed</t>
        </is>
      </c>
      <c r="F614" t="inlineStr">
        <is>
          <t>primary</t>
        </is>
      </c>
      <c r="G614" t="inlineStr">
        <is>
          <t>required</t>
        </is>
      </c>
      <c r="H614" t="inlineStr">
        <is>
          <t>true</t>
        </is>
      </c>
      <c r="I614" t="inlineStr">
        <is>
          <t>701</t>
        </is>
      </c>
      <c r="J614" t="inlineStr">
        <is>
          <t>HL7 ValueSet expand (2026-06-09)</t>
        </is>
      </c>
      <c r="K614" t="inlineStr">
        <is>
          <t>false</t>
        </is>
      </c>
    </row>
    <row r="615">
      <c r="A615" t="inlineStr">
        <is>
          <t>Patient.race</t>
        </is>
      </c>
      <c r="B615" t="inlineStr">
        <is>
          <t>urn:oid:2.16.840.1.113883.6.238</t>
        </is>
      </c>
      <c r="C615" t="inlineStr">
        <is>
          <t>1778-0</t>
        </is>
      </c>
      <c r="D615" t="inlineStr">
        <is>
          <t>Lime</t>
        </is>
      </c>
      <c r="E615" t="inlineStr">
        <is>
          <t>detailed</t>
        </is>
      </c>
      <c r="F615" t="inlineStr">
        <is>
          <t>primary</t>
        </is>
      </c>
      <c r="G615" t="inlineStr">
        <is>
          <t>required</t>
        </is>
      </c>
      <c r="H615" t="inlineStr">
        <is>
          <t>true</t>
        </is>
      </c>
      <c r="I615" t="inlineStr">
        <is>
          <t>702</t>
        </is>
      </c>
      <c r="J615" t="inlineStr">
        <is>
          <t>HL7 ValueSet expand (2026-06-09)</t>
        </is>
      </c>
      <c r="K615" t="inlineStr">
        <is>
          <t>false</t>
        </is>
      </c>
    </row>
    <row r="616">
      <c r="A616" t="inlineStr">
        <is>
          <t>Patient.race</t>
        </is>
      </c>
      <c r="B616" t="inlineStr">
        <is>
          <t>urn:oid:2.16.840.1.113883.6.238</t>
        </is>
      </c>
      <c r="C616" t="inlineStr">
        <is>
          <t>1779-8</t>
        </is>
      </c>
      <c r="D616" t="inlineStr">
        <is>
          <t>Mcgrath</t>
        </is>
      </c>
      <c r="E616" t="inlineStr">
        <is>
          <t>detailed</t>
        </is>
      </c>
      <c r="F616" t="inlineStr">
        <is>
          <t>primary</t>
        </is>
      </c>
      <c r="G616" t="inlineStr">
        <is>
          <t>required</t>
        </is>
      </c>
      <c r="H616" t="inlineStr">
        <is>
          <t>true</t>
        </is>
      </c>
      <c r="I616" t="inlineStr">
        <is>
          <t>703</t>
        </is>
      </c>
      <c r="J616" t="inlineStr">
        <is>
          <t>HL7 ValueSet expand (2026-06-09)</t>
        </is>
      </c>
      <c r="K616" t="inlineStr">
        <is>
          <t>false</t>
        </is>
      </c>
    </row>
    <row r="617">
      <c r="A617" t="inlineStr">
        <is>
          <t>Patient.race</t>
        </is>
      </c>
      <c r="B617" t="inlineStr">
        <is>
          <t>urn:oid:2.16.840.1.113883.6.238</t>
        </is>
      </c>
      <c r="C617" t="inlineStr">
        <is>
          <t>1780-6</t>
        </is>
      </c>
      <c r="D617" t="inlineStr">
        <is>
          <t>Manley Hot Springs</t>
        </is>
      </c>
      <c r="E617" t="inlineStr">
        <is>
          <t>detailed</t>
        </is>
      </c>
      <c r="F617" t="inlineStr">
        <is>
          <t>primary</t>
        </is>
      </c>
      <c r="G617" t="inlineStr">
        <is>
          <t>required</t>
        </is>
      </c>
      <c r="H617" t="inlineStr">
        <is>
          <t>true</t>
        </is>
      </c>
      <c r="I617" t="inlineStr">
        <is>
          <t>704</t>
        </is>
      </c>
      <c r="J617" t="inlineStr">
        <is>
          <t>HL7 ValueSet expand (2026-06-09)</t>
        </is>
      </c>
      <c r="K617" t="inlineStr">
        <is>
          <t>false</t>
        </is>
      </c>
    </row>
    <row r="618">
      <c r="A618" t="inlineStr">
        <is>
          <t>Patient.race</t>
        </is>
      </c>
      <c r="B618" t="inlineStr">
        <is>
          <t>urn:oid:2.16.840.1.113883.6.238</t>
        </is>
      </c>
      <c r="C618" t="inlineStr">
        <is>
          <t>1781-4</t>
        </is>
      </c>
      <c r="D618" t="inlineStr">
        <is>
          <t>Mentasta Lake</t>
        </is>
      </c>
      <c r="E618" t="inlineStr">
        <is>
          <t>detailed</t>
        </is>
      </c>
      <c r="F618" t="inlineStr">
        <is>
          <t>primary</t>
        </is>
      </c>
      <c r="G618" t="inlineStr">
        <is>
          <t>required</t>
        </is>
      </c>
      <c r="H618" t="inlineStr">
        <is>
          <t>true</t>
        </is>
      </c>
      <c r="I618" t="inlineStr">
        <is>
          <t>705</t>
        </is>
      </c>
      <c r="J618" t="inlineStr">
        <is>
          <t>HL7 ValueSet expand (2026-06-09)</t>
        </is>
      </c>
      <c r="K618" t="inlineStr">
        <is>
          <t>false</t>
        </is>
      </c>
    </row>
    <row r="619">
      <c r="A619" t="inlineStr">
        <is>
          <t>Patient.race</t>
        </is>
      </c>
      <c r="B619" t="inlineStr">
        <is>
          <t>urn:oid:2.16.840.1.113883.6.238</t>
        </is>
      </c>
      <c r="C619" t="inlineStr">
        <is>
          <t>1782-2</t>
        </is>
      </c>
      <c r="D619" t="inlineStr">
        <is>
          <t>Minto</t>
        </is>
      </c>
      <c r="E619" t="inlineStr">
        <is>
          <t>detailed</t>
        </is>
      </c>
      <c r="F619" t="inlineStr">
        <is>
          <t>primary</t>
        </is>
      </c>
      <c r="G619" t="inlineStr">
        <is>
          <t>required</t>
        </is>
      </c>
      <c r="H619" t="inlineStr">
        <is>
          <t>true</t>
        </is>
      </c>
      <c r="I619" t="inlineStr">
        <is>
          <t>706</t>
        </is>
      </c>
      <c r="J619" t="inlineStr">
        <is>
          <t>HL7 ValueSet expand (2026-06-09)</t>
        </is>
      </c>
      <c r="K619" t="inlineStr">
        <is>
          <t>false</t>
        </is>
      </c>
    </row>
    <row r="620">
      <c r="A620" t="inlineStr">
        <is>
          <t>Patient.race</t>
        </is>
      </c>
      <c r="B620" t="inlineStr">
        <is>
          <t>urn:oid:2.16.840.1.113883.6.238</t>
        </is>
      </c>
      <c r="C620" t="inlineStr">
        <is>
          <t>1783-0</t>
        </is>
      </c>
      <c r="D620" t="inlineStr">
        <is>
          <t>Nenana</t>
        </is>
      </c>
      <c r="E620" t="inlineStr">
        <is>
          <t>detailed</t>
        </is>
      </c>
      <c r="F620" t="inlineStr">
        <is>
          <t>primary</t>
        </is>
      </c>
      <c r="G620" t="inlineStr">
        <is>
          <t>required</t>
        </is>
      </c>
      <c r="H620" t="inlineStr">
        <is>
          <t>true</t>
        </is>
      </c>
      <c r="I620" t="inlineStr">
        <is>
          <t>707</t>
        </is>
      </c>
      <c r="J620" t="inlineStr">
        <is>
          <t>HL7 ValueSet expand (2026-06-09)</t>
        </is>
      </c>
      <c r="K620" t="inlineStr">
        <is>
          <t>false</t>
        </is>
      </c>
    </row>
    <row r="621">
      <c r="A621" t="inlineStr">
        <is>
          <t>Patient.race</t>
        </is>
      </c>
      <c r="B621" t="inlineStr">
        <is>
          <t>urn:oid:2.16.840.1.113883.6.238</t>
        </is>
      </c>
      <c r="C621" t="inlineStr">
        <is>
          <t>1784-8</t>
        </is>
      </c>
      <c r="D621" t="inlineStr">
        <is>
          <t>Nikolai</t>
        </is>
      </c>
      <c r="E621" t="inlineStr">
        <is>
          <t>detailed</t>
        </is>
      </c>
      <c r="F621" t="inlineStr">
        <is>
          <t>primary</t>
        </is>
      </c>
      <c r="G621" t="inlineStr">
        <is>
          <t>required</t>
        </is>
      </c>
      <c r="H621" t="inlineStr">
        <is>
          <t>true</t>
        </is>
      </c>
      <c r="I621" t="inlineStr">
        <is>
          <t>708</t>
        </is>
      </c>
      <c r="J621" t="inlineStr">
        <is>
          <t>HL7 ValueSet expand (2026-06-09)</t>
        </is>
      </c>
      <c r="K621" t="inlineStr">
        <is>
          <t>false</t>
        </is>
      </c>
    </row>
    <row r="622">
      <c r="A622" t="inlineStr">
        <is>
          <t>Patient.race</t>
        </is>
      </c>
      <c r="B622" t="inlineStr">
        <is>
          <t>urn:oid:2.16.840.1.113883.6.238</t>
        </is>
      </c>
      <c r="C622" t="inlineStr">
        <is>
          <t>1785-5</t>
        </is>
      </c>
      <c r="D622" t="inlineStr">
        <is>
          <t>Ninilchik</t>
        </is>
      </c>
      <c r="E622" t="inlineStr">
        <is>
          <t>detailed</t>
        </is>
      </c>
      <c r="F622" t="inlineStr">
        <is>
          <t>primary</t>
        </is>
      </c>
      <c r="G622" t="inlineStr">
        <is>
          <t>required</t>
        </is>
      </c>
      <c r="H622" t="inlineStr">
        <is>
          <t>true</t>
        </is>
      </c>
      <c r="I622" t="inlineStr">
        <is>
          <t>709</t>
        </is>
      </c>
      <c r="J622" t="inlineStr">
        <is>
          <t>HL7 ValueSet expand (2026-06-09)</t>
        </is>
      </c>
      <c r="K622" t="inlineStr">
        <is>
          <t>false</t>
        </is>
      </c>
    </row>
    <row r="623">
      <c r="A623" t="inlineStr">
        <is>
          <t>Patient.race</t>
        </is>
      </c>
      <c r="B623" t="inlineStr">
        <is>
          <t>urn:oid:2.16.840.1.113883.6.238</t>
        </is>
      </c>
      <c r="C623" t="inlineStr">
        <is>
          <t>1786-3</t>
        </is>
      </c>
      <c r="D623" t="inlineStr">
        <is>
          <t>Nondalton</t>
        </is>
      </c>
      <c r="E623" t="inlineStr">
        <is>
          <t>detailed</t>
        </is>
      </c>
      <c r="F623" t="inlineStr">
        <is>
          <t>primary</t>
        </is>
      </c>
      <c r="G623" t="inlineStr">
        <is>
          <t>required</t>
        </is>
      </c>
      <c r="H623" t="inlineStr">
        <is>
          <t>true</t>
        </is>
      </c>
      <c r="I623" t="inlineStr">
        <is>
          <t>710</t>
        </is>
      </c>
      <c r="J623" t="inlineStr">
        <is>
          <t>HL7 ValueSet expand (2026-06-09)</t>
        </is>
      </c>
      <c r="K623" t="inlineStr">
        <is>
          <t>false</t>
        </is>
      </c>
    </row>
    <row r="624">
      <c r="A624" t="inlineStr">
        <is>
          <t>Patient.race</t>
        </is>
      </c>
      <c r="B624" t="inlineStr">
        <is>
          <t>urn:oid:2.16.840.1.113883.6.238</t>
        </is>
      </c>
      <c r="C624" t="inlineStr">
        <is>
          <t>1787-1</t>
        </is>
      </c>
      <c r="D624" t="inlineStr">
        <is>
          <t>Northway</t>
        </is>
      </c>
      <c r="E624" t="inlineStr">
        <is>
          <t>detailed</t>
        </is>
      </c>
      <c r="F624" t="inlineStr">
        <is>
          <t>primary</t>
        </is>
      </c>
      <c r="G624" t="inlineStr">
        <is>
          <t>required</t>
        </is>
      </c>
      <c r="H624" t="inlineStr">
        <is>
          <t>true</t>
        </is>
      </c>
      <c r="I624" t="inlineStr">
        <is>
          <t>711</t>
        </is>
      </c>
      <c r="J624" t="inlineStr">
        <is>
          <t>HL7 ValueSet expand (2026-06-09)</t>
        </is>
      </c>
      <c r="K624" t="inlineStr">
        <is>
          <t>false</t>
        </is>
      </c>
    </row>
    <row r="625">
      <c r="A625" t="inlineStr">
        <is>
          <t>Patient.race</t>
        </is>
      </c>
      <c r="B625" t="inlineStr">
        <is>
          <t>urn:oid:2.16.840.1.113883.6.238</t>
        </is>
      </c>
      <c r="C625" t="inlineStr">
        <is>
          <t>1788-9</t>
        </is>
      </c>
      <c r="D625" t="inlineStr">
        <is>
          <t>Nulato</t>
        </is>
      </c>
      <c r="E625" t="inlineStr">
        <is>
          <t>detailed</t>
        </is>
      </c>
      <c r="F625" t="inlineStr">
        <is>
          <t>primary</t>
        </is>
      </c>
      <c r="G625" t="inlineStr">
        <is>
          <t>required</t>
        </is>
      </c>
      <c r="H625" t="inlineStr">
        <is>
          <t>true</t>
        </is>
      </c>
      <c r="I625" t="inlineStr">
        <is>
          <t>712</t>
        </is>
      </c>
      <c r="J625" t="inlineStr">
        <is>
          <t>HL7 ValueSet expand (2026-06-09)</t>
        </is>
      </c>
      <c r="K625" t="inlineStr">
        <is>
          <t>false</t>
        </is>
      </c>
    </row>
    <row r="626">
      <c r="A626" t="inlineStr">
        <is>
          <t>Patient.race</t>
        </is>
      </c>
      <c r="B626" t="inlineStr">
        <is>
          <t>urn:oid:2.16.840.1.113883.6.238</t>
        </is>
      </c>
      <c r="C626" t="inlineStr">
        <is>
          <t>1789-7</t>
        </is>
      </c>
      <c r="D626" t="inlineStr">
        <is>
          <t>Pedro Bay</t>
        </is>
      </c>
      <c r="E626" t="inlineStr">
        <is>
          <t>detailed</t>
        </is>
      </c>
      <c r="F626" t="inlineStr">
        <is>
          <t>primary</t>
        </is>
      </c>
      <c r="G626" t="inlineStr">
        <is>
          <t>required</t>
        </is>
      </c>
      <c r="H626" t="inlineStr">
        <is>
          <t>true</t>
        </is>
      </c>
      <c r="I626" t="inlineStr">
        <is>
          <t>713</t>
        </is>
      </c>
      <c r="J626" t="inlineStr">
        <is>
          <t>HL7 ValueSet expand (2026-06-09)</t>
        </is>
      </c>
      <c r="K626" t="inlineStr">
        <is>
          <t>false</t>
        </is>
      </c>
    </row>
    <row r="627">
      <c r="A627" t="inlineStr">
        <is>
          <t>Patient.race</t>
        </is>
      </c>
      <c r="B627" t="inlineStr">
        <is>
          <t>urn:oid:2.16.840.1.113883.6.238</t>
        </is>
      </c>
      <c r="C627" t="inlineStr">
        <is>
          <t>1790-5</t>
        </is>
      </c>
      <c r="D627" t="inlineStr">
        <is>
          <t>Rampart</t>
        </is>
      </c>
      <c r="E627" t="inlineStr">
        <is>
          <t>detailed</t>
        </is>
      </c>
      <c r="F627" t="inlineStr">
        <is>
          <t>primary</t>
        </is>
      </c>
      <c r="G627" t="inlineStr">
        <is>
          <t>required</t>
        </is>
      </c>
      <c r="H627" t="inlineStr">
        <is>
          <t>true</t>
        </is>
      </c>
      <c r="I627" t="inlineStr">
        <is>
          <t>714</t>
        </is>
      </c>
      <c r="J627" t="inlineStr">
        <is>
          <t>HL7 ValueSet expand (2026-06-09)</t>
        </is>
      </c>
      <c r="K627" t="inlineStr">
        <is>
          <t>false</t>
        </is>
      </c>
    </row>
    <row r="628">
      <c r="A628" t="inlineStr">
        <is>
          <t>Patient.race</t>
        </is>
      </c>
      <c r="B628" t="inlineStr">
        <is>
          <t>urn:oid:2.16.840.1.113883.6.238</t>
        </is>
      </c>
      <c r="C628" t="inlineStr">
        <is>
          <t>1791-3</t>
        </is>
      </c>
      <c r="D628" t="inlineStr">
        <is>
          <t>Ruby</t>
        </is>
      </c>
      <c r="E628" t="inlineStr">
        <is>
          <t>detailed</t>
        </is>
      </c>
      <c r="F628" t="inlineStr">
        <is>
          <t>primary</t>
        </is>
      </c>
      <c r="G628" t="inlineStr">
        <is>
          <t>required</t>
        </is>
      </c>
      <c r="H628" t="inlineStr">
        <is>
          <t>true</t>
        </is>
      </c>
      <c r="I628" t="inlineStr">
        <is>
          <t>715</t>
        </is>
      </c>
      <c r="J628" t="inlineStr">
        <is>
          <t>HL7 ValueSet expand (2026-06-09)</t>
        </is>
      </c>
      <c r="K628" t="inlineStr">
        <is>
          <t>false</t>
        </is>
      </c>
    </row>
    <row r="629">
      <c r="A629" t="inlineStr">
        <is>
          <t>Patient.race</t>
        </is>
      </c>
      <c r="B629" t="inlineStr">
        <is>
          <t>urn:oid:2.16.840.1.113883.6.238</t>
        </is>
      </c>
      <c r="C629" t="inlineStr">
        <is>
          <t>1792-1</t>
        </is>
      </c>
      <c r="D629" t="inlineStr">
        <is>
          <t>Salamatof</t>
        </is>
      </c>
      <c r="E629" t="inlineStr">
        <is>
          <t>detailed</t>
        </is>
      </c>
      <c r="F629" t="inlineStr">
        <is>
          <t>primary</t>
        </is>
      </c>
      <c r="G629" t="inlineStr">
        <is>
          <t>required</t>
        </is>
      </c>
      <c r="H629" t="inlineStr">
        <is>
          <t>true</t>
        </is>
      </c>
      <c r="I629" t="inlineStr">
        <is>
          <t>716</t>
        </is>
      </c>
      <c r="J629" t="inlineStr">
        <is>
          <t>HL7 ValueSet expand (2026-06-09)</t>
        </is>
      </c>
      <c r="K629" t="inlineStr">
        <is>
          <t>false</t>
        </is>
      </c>
    </row>
    <row r="630">
      <c r="A630" t="inlineStr">
        <is>
          <t>Patient.race</t>
        </is>
      </c>
      <c r="B630" t="inlineStr">
        <is>
          <t>urn:oid:2.16.840.1.113883.6.238</t>
        </is>
      </c>
      <c r="C630" t="inlineStr">
        <is>
          <t>1793-9</t>
        </is>
      </c>
      <c r="D630" t="inlineStr">
        <is>
          <t>Seldovia</t>
        </is>
      </c>
      <c r="E630" t="inlineStr">
        <is>
          <t>detailed</t>
        </is>
      </c>
      <c r="F630" t="inlineStr">
        <is>
          <t>primary</t>
        </is>
      </c>
      <c r="G630" t="inlineStr">
        <is>
          <t>required</t>
        </is>
      </c>
      <c r="H630" t="inlineStr">
        <is>
          <t>true</t>
        </is>
      </c>
      <c r="I630" t="inlineStr">
        <is>
          <t>717</t>
        </is>
      </c>
      <c r="J630" t="inlineStr">
        <is>
          <t>HL7 ValueSet expand (2026-06-09)</t>
        </is>
      </c>
      <c r="K630" t="inlineStr">
        <is>
          <t>false</t>
        </is>
      </c>
    </row>
    <row r="631">
      <c r="A631" t="inlineStr">
        <is>
          <t>Patient.race</t>
        </is>
      </c>
      <c r="B631" t="inlineStr">
        <is>
          <t>urn:oid:2.16.840.1.113883.6.238</t>
        </is>
      </c>
      <c r="C631" t="inlineStr">
        <is>
          <t>1794-7</t>
        </is>
      </c>
      <c r="D631" t="inlineStr">
        <is>
          <t>Slana</t>
        </is>
      </c>
      <c r="E631" t="inlineStr">
        <is>
          <t>detailed</t>
        </is>
      </c>
      <c r="F631" t="inlineStr">
        <is>
          <t>primary</t>
        </is>
      </c>
      <c r="G631" t="inlineStr">
        <is>
          <t>required</t>
        </is>
      </c>
      <c r="H631" t="inlineStr">
        <is>
          <t>true</t>
        </is>
      </c>
      <c r="I631" t="inlineStr">
        <is>
          <t>718</t>
        </is>
      </c>
      <c r="J631" t="inlineStr">
        <is>
          <t>HL7 ValueSet expand (2026-06-09)</t>
        </is>
      </c>
      <c r="K631" t="inlineStr">
        <is>
          <t>false</t>
        </is>
      </c>
    </row>
    <row r="632">
      <c r="A632" t="inlineStr">
        <is>
          <t>Patient.race</t>
        </is>
      </c>
      <c r="B632" t="inlineStr">
        <is>
          <t>urn:oid:2.16.840.1.113883.6.238</t>
        </is>
      </c>
      <c r="C632" t="inlineStr">
        <is>
          <t>1795-4</t>
        </is>
      </c>
      <c r="D632" t="inlineStr">
        <is>
          <t>Shageluk</t>
        </is>
      </c>
      <c r="E632" t="inlineStr">
        <is>
          <t>detailed</t>
        </is>
      </c>
      <c r="F632" t="inlineStr">
        <is>
          <t>primary</t>
        </is>
      </c>
      <c r="G632" t="inlineStr">
        <is>
          <t>required</t>
        </is>
      </c>
      <c r="H632" t="inlineStr">
        <is>
          <t>true</t>
        </is>
      </c>
      <c r="I632" t="inlineStr">
        <is>
          <t>719</t>
        </is>
      </c>
      <c r="J632" t="inlineStr">
        <is>
          <t>HL7 ValueSet expand (2026-06-09)</t>
        </is>
      </c>
      <c r="K632" t="inlineStr">
        <is>
          <t>false</t>
        </is>
      </c>
    </row>
    <row r="633">
      <c r="A633" t="inlineStr">
        <is>
          <t>Patient.race</t>
        </is>
      </c>
      <c r="B633" t="inlineStr">
        <is>
          <t>urn:oid:2.16.840.1.113883.6.238</t>
        </is>
      </c>
      <c r="C633" t="inlineStr">
        <is>
          <t>1796-2</t>
        </is>
      </c>
      <c r="D633" t="inlineStr">
        <is>
          <t>Stevens</t>
        </is>
      </c>
      <c r="E633" t="inlineStr">
        <is>
          <t>detailed</t>
        </is>
      </c>
      <c r="F633" t="inlineStr">
        <is>
          <t>primary</t>
        </is>
      </c>
      <c r="G633" t="inlineStr">
        <is>
          <t>required</t>
        </is>
      </c>
      <c r="H633" t="inlineStr">
        <is>
          <t>true</t>
        </is>
      </c>
      <c r="I633" t="inlineStr">
        <is>
          <t>720</t>
        </is>
      </c>
      <c r="J633" t="inlineStr">
        <is>
          <t>HL7 ValueSet expand (2026-06-09)</t>
        </is>
      </c>
      <c r="K633" t="inlineStr">
        <is>
          <t>false</t>
        </is>
      </c>
    </row>
    <row r="634">
      <c r="A634" t="inlineStr">
        <is>
          <t>Patient.race</t>
        </is>
      </c>
      <c r="B634" t="inlineStr">
        <is>
          <t>urn:oid:2.16.840.1.113883.6.238</t>
        </is>
      </c>
      <c r="C634" t="inlineStr">
        <is>
          <t>1797-0</t>
        </is>
      </c>
      <c r="D634" t="inlineStr">
        <is>
          <t>Stony River</t>
        </is>
      </c>
      <c r="E634" t="inlineStr">
        <is>
          <t>detailed</t>
        </is>
      </c>
      <c r="F634" t="inlineStr">
        <is>
          <t>primary</t>
        </is>
      </c>
      <c r="G634" t="inlineStr">
        <is>
          <t>required</t>
        </is>
      </c>
      <c r="H634" t="inlineStr">
        <is>
          <t>true</t>
        </is>
      </c>
      <c r="I634" t="inlineStr">
        <is>
          <t>721</t>
        </is>
      </c>
      <c r="J634" t="inlineStr">
        <is>
          <t>HL7 ValueSet expand (2026-06-09)</t>
        </is>
      </c>
      <c r="K634" t="inlineStr">
        <is>
          <t>false</t>
        </is>
      </c>
    </row>
    <row r="635">
      <c r="A635" t="inlineStr">
        <is>
          <t>Patient.race</t>
        </is>
      </c>
      <c r="B635" t="inlineStr">
        <is>
          <t>urn:oid:2.16.840.1.113883.6.238</t>
        </is>
      </c>
      <c r="C635" t="inlineStr">
        <is>
          <t>1798-8</t>
        </is>
      </c>
      <c r="D635" t="inlineStr">
        <is>
          <t>Takotna</t>
        </is>
      </c>
      <c r="E635" t="inlineStr">
        <is>
          <t>detailed</t>
        </is>
      </c>
      <c r="F635" t="inlineStr">
        <is>
          <t>primary</t>
        </is>
      </c>
      <c r="G635" t="inlineStr">
        <is>
          <t>required</t>
        </is>
      </c>
      <c r="H635" t="inlineStr">
        <is>
          <t>true</t>
        </is>
      </c>
      <c r="I635" t="inlineStr">
        <is>
          <t>722</t>
        </is>
      </c>
      <c r="J635" t="inlineStr">
        <is>
          <t>HL7 ValueSet expand (2026-06-09)</t>
        </is>
      </c>
      <c r="K635" t="inlineStr">
        <is>
          <t>false</t>
        </is>
      </c>
    </row>
    <row r="636">
      <c r="A636" t="inlineStr">
        <is>
          <t>Patient.race</t>
        </is>
      </c>
      <c r="B636" t="inlineStr">
        <is>
          <t>urn:oid:2.16.840.1.113883.6.238</t>
        </is>
      </c>
      <c r="C636" t="inlineStr">
        <is>
          <t>1799-6</t>
        </is>
      </c>
      <c r="D636" t="inlineStr">
        <is>
          <t>Tanacross</t>
        </is>
      </c>
      <c r="E636" t="inlineStr">
        <is>
          <t>detailed</t>
        </is>
      </c>
      <c r="F636" t="inlineStr">
        <is>
          <t>primary</t>
        </is>
      </c>
      <c r="G636" t="inlineStr">
        <is>
          <t>required</t>
        </is>
      </c>
      <c r="H636" t="inlineStr">
        <is>
          <t>true</t>
        </is>
      </c>
      <c r="I636" t="inlineStr">
        <is>
          <t>723</t>
        </is>
      </c>
      <c r="J636" t="inlineStr">
        <is>
          <t>HL7 ValueSet expand (2026-06-09)</t>
        </is>
      </c>
      <c r="K636" t="inlineStr">
        <is>
          <t>false</t>
        </is>
      </c>
    </row>
    <row r="637">
      <c r="A637" t="inlineStr">
        <is>
          <t>Patient.race</t>
        </is>
      </c>
      <c r="B637" t="inlineStr">
        <is>
          <t>urn:oid:2.16.840.1.113883.6.238</t>
        </is>
      </c>
      <c r="C637" t="inlineStr">
        <is>
          <t>1800-2</t>
        </is>
      </c>
      <c r="D637" t="inlineStr">
        <is>
          <t>Tanaina</t>
        </is>
      </c>
      <c r="E637" t="inlineStr">
        <is>
          <t>detailed</t>
        </is>
      </c>
      <c r="F637" t="inlineStr">
        <is>
          <t>primary</t>
        </is>
      </c>
      <c r="G637" t="inlineStr">
        <is>
          <t>required</t>
        </is>
      </c>
      <c r="H637" t="inlineStr">
        <is>
          <t>true</t>
        </is>
      </c>
      <c r="I637" t="inlineStr">
        <is>
          <t>724</t>
        </is>
      </c>
      <c r="J637" t="inlineStr">
        <is>
          <t>HL7 ValueSet expand (2026-06-09)</t>
        </is>
      </c>
      <c r="K637" t="inlineStr">
        <is>
          <t>false</t>
        </is>
      </c>
    </row>
    <row r="638">
      <c r="A638" t="inlineStr">
        <is>
          <t>Patient.race</t>
        </is>
      </c>
      <c r="B638" t="inlineStr">
        <is>
          <t>urn:oid:2.16.840.1.113883.6.238</t>
        </is>
      </c>
      <c r="C638" t="inlineStr">
        <is>
          <t>1801-0</t>
        </is>
      </c>
      <c r="D638" t="inlineStr">
        <is>
          <t>Tanana</t>
        </is>
      </c>
      <c r="E638" t="inlineStr">
        <is>
          <t>detailed</t>
        </is>
      </c>
      <c r="F638" t="inlineStr">
        <is>
          <t>primary</t>
        </is>
      </c>
      <c r="G638" t="inlineStr">
        <is>
          <t>required</t>
        </is>
      </c>
      <c r="H638" t="inlineStr">
        <is>
          <t>true</t>
        </is>
      </c>
      <c r="I638" t="inlineStr">
        <is>
          <t>725</t>
        </is>
      </c>
      <c r="J638" t="inlineStr">
        <is>
          <t>HL7 ValueSet expand (2026-06-09)</t>
        </is>
      </c>
      <c r="K638" t="inlineStr">
        <is>
          <t>false</t>
        </is>
      </c>
    </row>
    <row r="639">
      <c r="A639" t="inlineStr">
        <is>
          <t>Patient.race</t>
        </is>
      </c>
      <c r="B639" t="inlineStr">
        <is>
          <t>urn:oid:2.16.840.1.113883.6.238</t>
        </is>
      </c>
      <c r="C639" t="inlineStr">
        <is>
          <t>1802-8</t>
        </is>
      </c>
      <c r="D639" t="inlineStr">
        <is>
          <t>Tanana Chiefs</t>
        </is>
      </c>
      <c r="E639" t="inlineStr">
        <is>
          <t>detailed</t>
        </is>
      </c>
      <c r="F639" t="inlineStr">
        <is>
          <t>primary</t>
        </is>
      </c>
      <c r="G639" t="inlineStr">
        <is>
          <t>required</t>
        </is>
      </c>
      <c r="H639" t="inlineStr">
        <is>
          <t>true</t>
        </is>
      </c>
      <c r="I639" t="inlineStr">
        <is>
          <t>726</t>
        </is>
      </c>
      <c r="J639" t="inlineStr">
        <is>
          <t>HL7 ValueSet expand (2026-06-09)</t>
        </is>
      </c>
      <c r="K639" t="inlineStr">
        <is>
          <t>false</t>
        </is>
      </c>
    </row>
    <row r="640">
      <c r="A640" t="inlineStr">
        <is>
          <t>Patient.race</t>
        </is>
      </c>
      <c r="B640" t="inlineStr">
        <is>
          <t>urn:oid:2.16.840.1.113883.6.238</t>
        </is>
      </c>
      <c r="C640" t="inlineStr">
        <is>
          <t>1803-6</t>
        </is>
      </c>
      <c r="D640" t="inlineStr">
        <is>
          <t>Tazlina</t>
        </is>
      </c>
      <c r="E640" t="inlineStr">
        <is>
          <t>detailed</t>
        </is>
      </c>
      <c r="F640" t="inlineStr">
        <is>
          <t>primary</t>
        </is>
      </c>
      <c r="G640" t="inlineStr">
        <is>
          <t>required</t>
        </is>
      </c>
      <c r="H640" t="inlineStr">
        <is>
          <t>true</t>
        </is>
      </c>
      <c r="I640" t="inlineStr">
        <is>
          <t>727</t>
        </is>
      </c>
      <c r="J640" t="inlineStr">
        <is>
          <t>HL7 ValueSet expand (2026-06-09)</t>
        </is>
      </c>
      <c r="K640" t="inlineStr">
        <is>
          <t>false</t>
        </is>
      </c>
    </row>
    <row r="641">
      <c r="A641" t="inlineStr">
        <is>
          <t>Patient.race</t>
        </is>
      </c>
      <c r="B641" t="inlineStr">
        <is>
          <t>urn:oid:2.16.840.1.113883.6.238</t>
        </is>
      </c>
      <c r="C641" t="inlineStr">
        <is>
          <t>1804-4</t>
        </is>
      </c>
      <c r="D641" t="inlineStr">
        <is>
          <t>Telida</t>
        </is>
      </c>
      <c r="E641" t="inlineStr">
        <is>
          <t>detailed</t>
        </is>
      </c>
      <c r="F641" t="inlineStr">
        <is>
          <t>primary</t>
        </is>
      </c>
      <c r="G641" t="inlineStr">
        <is>
          <t>required</t>
        </is>
      </c>
      <c r="H641" t="inlineStr">
        <is>
          <t>true</t>
        </is>
      </c>
      <c r="I641" t="inlineStr">
        <is>
          <t>728</t>
        </is>
      </c>
      <c r="J641" t="inlineStr">
        <is>
          <t>HL7 ValueSet expand (2026-06-09)</t>
        </is>
      </c>
      <c r="K641" t="inlineStr">
        <is>
          <t>false</t>
        </is>
      </c>
    </row>
    <row r="642">
      <c r="A642" t="inlineStr">
        <is>
          <t>Patient.race</t>
        </is>
      </c>
      <c r="B642" t="inlineStr">
        <is>
          <t>urn:oid:2.16.840.1.113883.6.238</t>
        </is>
      </c>
      <c r="C642" t="inlineStr">
        <is>
          <t>1805-1</t>
        </is>
      </c>
      <c r="D642" t="inlineStr">
        <is>
          <t>Tetlin</t>
        </is>
      </c>
      <c r="E642" t="inlineStr">
        <is>
          <t>detailed</t>
        </is>
      </c>
      <c r="F642" t="inlineStr">
        <is>
          <t>primary</t>
        </is>
      </c>
      <c r="G642" t="inlineStr">
        <is>
          <t>required</t>
        </is>
      </c>
      <c r="H642" t="inlineStr">
        <is>
          <t>true</t>
        </is>
      </c>
      <c r="I642" t="inlineStr">
        <is>
          <t>729</t>
        </is>
      </c>
      <c r="J642" t="inlineStr">
        <is>
          <t>HL7 ValueSet expand (2026-06-09)</t>
        </is>
      </c>
      <c r="K642" t="inlineStr">
        <is>
          <t>false</t>
        </is>
      </c>
    </row>
    <row r="643">
      <c r="A643" t="inlineStr">
        <is>
          <t>Patient.race</t>
        </is>
      </c>
      <c r="B643" t="inlineStr">
        <is>
          <t>urn:oid:2.16.840.1.113883.6.238</t>
        </is>
      </c>
      <c r="C643" t="inlineStr">
        <is>
          <t>1806-9</t>
        </is>
      </c>
      <c r="D643" t="inlineStr">
        <is>
          <t>Tok</t>
        </is>
      </c>
      <c r="E643" t="inlineStr">
        <is>
          <t>detailed</t>
        </is>
      </c>
      <c r="F643" t="inlineStr">
        <is>
          <t>primary</t>
        </is>
      </c>
      <c r="G643" t="inlineStr">
        <is>
          <t>required</t>
        </is>
      </c>
      <c r="H643" t="inlineStr">
        <is>
          <t>true</t>
        </is>
      </c>
      <c r="I643" t="inlineStr">
        <is>
          <t>730</t>
        </is>
      </c>
      <c r="J643" t="inlineStr">
        <is>
          <t>HL7 ValueSet expand (2026-06-09)</t>
        </is>
      </c>
      <c r="K643" t="inlineStr">
        <is>
          <t>false</t>
        </is>
      </c>
    </row>
    <row r="644">
      <c r="A644" t="inlineStr">
        <is>
          <t>Patient.race</t>
        </is>
      </c>
      <c r="B644" t="inlineStr">
        <is>
          <t>urn:oid:2.16.840.1.113883.6.238</t>
        </is>
      </c>
      <c r="C644" t="inlineStr">
        <is>
          <t>1807-7</t>
        </is>
      </c>
      <c r="D644" t="inlineStr">
        <is>
          <t>Tyonek</t>
        </is>
      </c>
      <c r="E644" t="inlineStr">
        <is>
          <t>detailed</t>
        </is>
      </c>
      <c r="F644" t="inlineStr">
        <is>
          <t>primary</t>
        </is>
      </c>
      <c r="G644" t="inlineStr">
        <is>
          <t>required</t>
        </is>
      </c>
      <c r="H644" t="inlineStr">
        <is>
          <t>true</t>
        </is>
      </c>
      <c r="I644" t="inlineStr">
        <is>
          <t>731</t>
        </is>
      </c>
      <c r="J644" t="inlineStr">
        <is>
          <t>HL7 ValueSet expand (2026-06-09)</t>
        </is>
      </c>
      <c r="K644" t="inlineStr">
        <is>
          <t>false</t>
        </is>
      </c>
    </row>
    <row r="645">
      <c r="A645" t="inlineStr">
        <is>
          <t>Patient.race</t>
        </is>
      </c>
      <c r="B645" t="inlineStr">
        <is>
          <t>urn:oid:2.16.840.1.113883.6.238</t>
        </is>
      </c>
      <c r="C645" t="inlineStr">
        <is>
          <t>1808-5</t>
        </is>
      </c>
      <c r="D645" t="inlineStr">
        <is>
          <t>Venetie</t>
        </is>
      </c>
      <c r="E645" t="inlineStr">
        <is>
          <t>detailed</t>
        </is>
      </c>
      <c r="F645" t="inlineStr">
        <is>
          <t>primary</t>
        </is>
      </c>
      <c r="G645" t="inlineStr">
        <is>
          <t>required</t>
        </is>
      </c>
      <c r="H645" t="inlineStr">
        <is>
          <t>true</t>
        </is>
      </c>
      <c r="I645" t="inlineStr">
        <is>
          <t>732</t>
        </is>
      </c>
      <c r="J645" t="inlineStr">
        <is>
          <t>HL7 ValueSet expand (2026-06-09)</t>
        </is>
      </c>
      <c r="K645" t="inlineStr">
        <is>
          <t>false</t>
        </is>
      </c>
    </row>
    <row r="646">
      <c r="A646" t="inlineStr">
        <is>
          <t>Patient.race</t>
        </is>
      </c>
      <c r="B646" t="inlineStr">
        <is>
          <t>urn:oid:2.16.840.1.113883.6.238</t>
        </is>
      </c>
      <c r="C646" t="inlineStr">
        <is>
          <t>1809-3</t>
        </is>
      </c>
      <c r="D646" t="inlineStr">
        <is>
          <t>Wiseman</t>
        </is>
      </c>
      <c r="E646" t="inlineStr">
        <is>
          <t>detailed</t>
        </is>
      </c>
      <c r="F646" t="inlineStr">
        <is>
          <t>primary</t>
        </is>
      </c>
      <c r="G646" t="inlineStr">
        <is>
          <t>required</t>
        </is>
      </c>
      <c r="H646" t="inlineStr">
        <is>
          <t>true</t>
        </is>
      </c>
      <c r="I646" t="inlineStr">
        <is>
          <t>733</t>
        </is>
      </c>
      <c r="J646" t="inlineStr">
        <is>
          <t>HL7 ValueSet expand (2026-06-09)</t>
        </is>
      </c>
      <c r="K646" t="inlineStr">
        <is>
          <t>false</t>
        </is>
      </c>
    </row>
    <row r="647">
      <c r="A647" t="inlineStr">
        <is>
          <t>Patient.race</t>
        </is>
      </c>
      <c r="B647" t="inlineStr">
        <is>
          <t>urn:oid:2.16.840.1.113883.6.238</t>
        </is>
      </c>
      <c r="C647" t="inlineStr">
        <is>
          <t>1811-9</t>
        </is>
      </c>
      <c r="D647" t="inlineStr">
        <is>
          <t>Southeast Alaska</t>
        </is>
      </c>
      <c r="E647" t="inlineStr">
        <is>
          <t>detailed</t>
        </is>
      </c>
      <c r="F647" t="inlineStr">
        <is>
          <t>primary</t>
        </is>
      </c>
      <c r="G647" t="inlineStr">
        <is>
          <t>required</t>
        </is>
      </c>
      <c r="H647" t="inlineStr">
        <is>
          <t>true</t>
        </is>
      </c>
      <c r="I647" t="inlineStr">
        <is>
          <t>734</t>
        </is>
      </c>
      <c r="J647" t="inlineStr">
        <is>
          <t>HL7 ValueSet expand (2026-06-09)</t>
        </is>
      </c>
      <c r="K647" t="inlineStr">
        <is>
          <t>false</t>
        </is>
      </c>
    </row>
    <row r="648">
      <c r="A648" t="inlineStr">
        <is>
          <t>Patient.race</t>
        </is>
      </c>
      <c r="B648" t="inlineStr">
        <is>
          <t>urn:oid:2.16.840.1.113883.6.238</t>
        </is>
      </c>
      <c r="C648" t="inlineStr">
        <is>
          <t>1813-5</t>
        </is>
      </c>
      <c r="D648" t="inlineStr">
        <is>
          <t>Tlingit-Haida</t>
        </is>
      </c>
      <c r="E648" t="inlineStr">
        <is>
          <t>detailed</t>
        </is>
      </c>
      <c r="F648" t="inlineStr">
        <is>
          <t>primary</t>
        </is>
      </c>
      <c r="G648" t="inlineStr">
        <is>
          <t>required</t>
        </is>
      </c>
      <c r="H648" t="inlineStr">
        <is>
          <t>true</t>
        </is>
      </c>
      <c r="I648" t="inlineStr">
        <is>
          <t>735</t>
        </is>
      </c>
      <c r="J648" t="inlineStr">
        <is>
          <t>HL7 ValueSet expand (2026-06-09)</t>
        </is>
      </c>
      <c r="K648" t="inlineStr">
        <is>
          <t>false</t>
        </is>
      </c>
    </row>
    <row r="649">
      <c r="A649" t="inlineStr">
        <is>
          <t>Patient.race</t>
        </is>
      </c>
      <c r="B649" t="inlineStr">
        <is>
          <t>urn:oid:2.16.840.1.113883.6.238</t>
        </is>
      </c>
      <c r="C649" t="inlineStr">
        <is>
          <t>1814-3</t>
        </is>
      </c>
      <c r="D649" t="inlineStr">
        <is>
          <t>Angoon</t>
        </is>
      </c>
      <c r="E649" t="inlineStr">
        <is>
          <t>detailed</t>
        </is>
      </c>
      <c r="F649" t="inlineStr">
        <is>
          <t>primary</t>
        </is>
      </c>
      <c r="G649" t="inlineStr">
        <is>
          <t>required</t>
        </is>
      </c>
      <c r="H649" t="inlineStr">
        <is>
          <t>true</t>
        </is>
      </c>
      <c r="I649" t="inlineStr">
        <is>
          <t>736</t>
        </is>
      </c>
      <c r="J649" t="inlineStr">
        <is>
          <t>HL7 ValueSet expand (2026-06-09)</t>
        </is>
      </c>
      <c r="K649" t="inlineStr">
        <is>
          <t>false</t>
        </is>
      </c>
    </row>
    <row r="650">
      <c r="A650" t="inlineStr">
        <is>
          <t>Patient.race</t>
        </is>
      </c>
      <c r="B650" t="inlineStr">
        <is>
          <t>urn:oid:2.16.840.1.113883.6.238</t>
        </is>
      </c>
      <c r="C650" t="inlineStr">
        <is>
          <t>1815-0</t>
        </is>
      </c>
      <c r="D650" t="inlineStr">
        <is>
          <t>Central Council of Tlingit and Haida Tribes</t>
        </is>
      </c>
      <c r="E650" t="inlineStr">
        <is>
          <t>detailed</t>
        </is>
      </c>
      <c r="F650" t="inlineStr">
        <is>
          <t>primary</t>
        </is>
      </c>
      <c r="G650" t="inlineStr">
        <is>
          <t>required</t>
        </is>
      </c>
      <c r="H650" t="inlineStr">
        <is>
          <t>true</t>
        </is>
      </c>
      <c r="I650" t="inlineStr">
        <is>
          <t>737</t>
        </is>
      </c>
      <c r="J650" t="inlineStr">
        <is>
          <t>HL7 ValueSet expand (2026-06-09)</t>
        </is>
      </c>
      <c r="K650" t="inlineStr">
        <is>
          <t>false</t>
        </is>
      </c>
    </row>
    <row r="651">
      <c r="A651" t="inlineStr">
        <is>
          <t>Patient.race</t>
        </is>
      </c>
      <c r="B651" t="inlineStr">
        <is>
          <t>urn:oid:2.16.840.1.113883.6.238</t>
        </is>
      </c>
      <c r="C651" t="inlineStr">
        <is>
          <t>1816-8</t>
        </is>
      </c>
      <c r="D651" t="inlineStr">
        <is>
          <t>Chilkat</t>
        </is>
      </c>
      <c r="E651" t="inlineStr">
        <is>
          <t>detailed</t>
        </is>
      </c>
      <c r="F651" t="inlineStr">
        <is>
          <t>primary</t>
        </is>
      </c>
      <c r="G651" t="inlineStr">
        <is>
          <t>required</t>
        </is>
      </c>
      <c r="H651" t="inlineStr">
        <is>
          <t>true</t>
        </is>
      </c>
      <c r="I651" t="inlineStr">
        <is>
          <t>738</t>
        </is>
      </c>
      <c r="J651" t="inlineStr">
        <is>
          <t>HL7 ValueSet expand (2026-06-09)</t>
        </is>
      </c>
      <c r="K651" t="inlineStr">
        <is>
          <t>false</t>
        </is>
      </c>
    </row>
    <row r="652">
      <c r="A652" t="inlineStr">
        <is>
          <t>Patient.race</t>
        </is>
      </c>
      <c r="B652" t="inlineStr">
        <is>
          <t>urn:oid:2.16.840.1.113883.6.238</t>
        </is>
      </c>
      <c r="C652" t="inlineStr">
        <is>
          <t>1817-6</t>
        </is>
      </c>
      <c r="D652" t="inlineStr">
        <is>
          <t>Chilkoot</t>
        </is>
      </c>
      <c r="E652" t="inlineStr">
        <is>
          <t>detailed</t>
        </is>
      </c>
      <c r="F652" t="inlineStr">
        <is>
          <t>primary</t>
        </is>
      </c>
      <c r="G652" t="inlineStr">
        <is>
          <t>required</t>
        </is>
      </c>
      <c r="H652" t="inlineStr">
        <is>
          <t>true</t>
        </is>
      </c>
      <c r="I652" t="inlineStr">
        <is>
          <t>739</t>
        </is>
      </c>
      <c r="J652" t="inlineStr">
        <is>
          <t>HL7 ValueSet expand (2026-06-09)</t>
        </is>
      </c>
      <c r="K652" t="inlineStr">
        <is>
          <t>false</t>
        </is>
      </c>
    </row>
    <row r="653">
      <c r="A653" t="inlineStr">
        <is>
          <t>Patient.race</t>
        </is>
      </c>
      <c r="B653" t="inlineStr">
        <is>
          <t>urn:oid:2.16.840.1.113883.6.238</t>
        </is>
      </c>
      <c r="C653" t="inlineStr">
        <is>
          <t>1818-4</t>
        </is>
      </c>
      <c r="D653" t="inlineStr">
        <is>
          <t>Craig</t>
        </is>
      </c>
      <c r="E653" t="inlineStr">
        <is>
          <t>detailed</t>
        </is>
      </c>
      <c r="F653" t="inlineStr">
        <is>
          <t>primary</t>
        </is>
      </c>
      <c r="G653" t="inlineStr">
        <is>
          <t>required</t>
        </is>
      </c>
      <c r="H653" t="inlineStr">
        <is>
          <t>true</t>
        </is>
      </c>
      <c r="I653" t="inlineStr">
        <is>
          <t>740</t>
        </is>
      </c>
      <c r="J653" t="inlineStr">
        <is>
          <t>HL7 ValueSet expand (2026-06-09)</t>
        </is>
      </c>
      <c r="K653" t="inlineStr">
        <is>
          <t>false</t>
        </is>
      </c>
    </row>
    <row r="654">
      <c r="A654" t="inlineStr">
        <is>
          <t>Patient.race</t>
        </is>
      </c>
      <c r="B654" t="inlineStr">
        <is>
          <t>urn:oid:2.16.840.1.113883.6.238</t>
        </is>
      </c>
      <c r="C654" t="inlineStr">
        <is>
          <t>1819-2</t>
        </is>
      </c>
      <c r="D654" t="inlineStr">
        <is>
          <t>Douglas</t>
        </is>
      </c>
      <c r="E654" t="inlineStr">
        <is>
          <t>detailed</t>
        </is>
      </c>
      <c r="F654" t="inlineStr">
        <is>
          <t>primary</t>
        </is>
      </c>
      <c r="G654" t="inlineStr">
        <is>
          <t>required</t>
        </is>
      </c>
      <c r="H654" t="inlineStr">
        <is>
          <t>true</t>
        </is>
      </c>
      <c r="I654" t="inlineStr">
        <is>
          <t>741</t>
        </is>
      </c>
      <c r="J654" t="inlineStr">
        <is>
          <t>HL7 ValueSet expand (2026-06-09)</t>
        </is>
      </c>
      <c r="K654" t="inlineStr">
        <is>
          <t>false</t>
        </is>
      </c>
    </row>
    <row r="655">
      <c r="A655" t="inlineStr">
        <is>
          <t>Patient.race</t>
        </is>
      </c>
      <c r="B655" t="inlineStr">
        <is>
          <t>urn:oid:2.16.840.1.113883.6.238</t>
        </is>
      </c>
      <c r="C655" t="inlineStr">
        <is>
          <t>1820-0</t>
        </is>
      </c>
      <c r="D655" t="inlineStr">
        <is>
          <t>Haida</t>
        </is>
      </c>
      <c r="E655" t="inlineStr">
        <is>
          <t>detailed</t>
        </is>
      </c>
      <c r="F655" t="inlineStr">
        <is>
          <t>primary</t>
        </is>
      </c>
      <c r="G655" t="inlineStr">
        <is>
          <t>required</t>
        </is>
      </c>
      <c r="H655" t="inlineStr">
        <is>
          <t>true</t>
        </is>
      </c>
      <c r="I655" t="inlineStr">
        <is>
          <t>742</t>
        </is>
      </c>
      <c r="J655" t="inlineStr">
        <is>
          <t>HL7 ValueSet expand (2026-06-09)</t>
        </is>
      </c>
      <c r="K655" t="inlineStr">
        <is>
          <t>false</t>
        </is>
      </c>
    </row>
    <row r="656">
      <c r="A656" t="inlineStr">
        <is>
          <t>Patient.race</t>
        </is>
      </c>
      <c r="B656" t="inlineStr">
        <is>
          <t>urn:oid:2.16.840.1.113883.6.238</t>
        </is>
      </c>
      <c r="C656" t="inlineStr">
        <is>
          <t>1821-8</t>
        </is>
      </c>
      <c r="D656" t="inlineStr">
        <is>
          <t>Hoonah</t>
        </is>
      </c>
      <c r="E656" t="inlineStr">
        <is>
          <t>detailed</t>
        </is>
      </c>
      <c r="F656" t="inlineStr">
        <is>
          <t>primary</t>
        </is>
      </c>
      <c r="G656" t="inlineStr">
        <is>
          <t>required</t>
        </is>
      </c>
      <c r="H656" t="inlineStr">
        <is>
          <t>true</t>
        </is>
      </c>
      <c r="I656" t="inlineStr">
        <is>
          <t>743</t>
        </is>
      </c>
      <c r="J656" t="inlineStr">
        <is>
          <t>HL7 ValueSet expand (2026-06-09)</t>
        </is>
      </c>
      <c r="K656" t="inlineStr">
        <is>
          <t>false</t>
        </is>
      </c>
    </row>
    <row r="657">
      <c r="A657" t="inlineStr">
        <is>
          <t>Patient.race</t>
        </is>
      </c>
      <c r="B657" t="inlineStr">
        <is>
          <t>urn:oid:2.16.840.1.113883.6.238</t>
        </is>
      </c>
      <c r="C657" t="inlineStr">
        <is>
          <t>1822-6</t>
        </is>
      </c>
      <c r="D657" t="inlineStr">
        <is>
          <t>Hydaburg</t>
        </is>
      </c>
      <c r="E657" t="inlineStr">
        <is>
          <t>detailed</t>
        </is>
      </c>
      <c r="F657" t="inlineStr">
        <is>
          <t>primary</t>
        </is>
      </c>
      <c r="G657" t="inlineStr">
        <is>
          <t>required</t>
        </is>
      </c>
      <c r="H657" t="inlineStr">
        <is>
          <t>true</t>
        </is>
      </c>
      <c r="I657" t="inlineStr">
        <is>
          <t>744</t>
        </is>
      </c>
      <c r="J657" t="inlineStr">
        <is>
          <t>HL7 ValueSet expand (2026-06-09)</t>
        </is>
      </c>
      <c r="K657" t="inlineStr">
        <is>
          <t>false</t>
        </is>
      </c>
    </row>
    <row r="658">
      <c r="A658" t="inlineStr">
        <is>
          <t>Patient.race</t>
        </is>
      </c>
      <c r="B658" t="inlineStr">
        <is>
          <t>urn:oid:2.16.840.1.113883.6.238</t>
        </is>
      </c>
      <c r="C658" t="inlineStr">
        <is>
          <t>1823-4</t>
        </is>
      </c>
      <c r="D658" t="inlineStr">
        <is>
          <t>Kake</t>
        </is>
      </c>
      <c r="E658" t="inlineStr">
        <is>
          <t>detailed</t>
        </is>
      </c>
      <c r="F658" t="inlineStr">
        <is>
          <t>primary</t>
        </is>
      </c>
      <c r="G658" t="inlineStr">
        <is>
          <t>required</t>
        </is>
      </c>
      <c r="H658" t="inlineStr">
        <is>
          <t>true</t>
        </is>
      </c>
      <c r="I658" t="inlineStr">
        <is>
          <t>745</t>
        </is>
      </c>
      <c r="J658" t="inlineStr">
        <is>
          <t>HL7 ValueSet expand (2026-06-09)</t>
        </is>
      </c>
      <c r="K658" t="inlineStr">
        <is>
          <t>false</t>
        </is>
      </c>
    </row>
    <row r="659">
      <c r="A659" t="inlineStr">
        <is>
          <t>Patient.race</t>
        </is>
      </c>
      <c r="B659" t="inlineStr">
        <is>
          <t>urn:oid:2.16.840.1.113883.6.238</t>
        </is>
      </c>
      <c r="C659" t="inlineStr">
        <is>
          <t>1824-2</t>
        </is>
      </c>
      <c r="D659" t="inlineStr">
        <is>
          <t>Kasaan</t>
        </is>
      </c>
      <c r="E659" t="inlineStr">
        <is>
          <t>detailed</t>
        </is>
      </c>
      <c r="F659" t="inlineStr">
        <is>
          <t>primary</t>
        </is>
      </c>
      <c r="G659" t="inlineStr">
        <is>
          <t>required</t>
        </is>
      </c>
      <c r="H659" t="inlineStr">
        <is>
          <t>true</t>
        </is>
      </c>
      <c r="I659" t="inlineStr">
        <is>
          <t>746</t>
        </is>
      </c>
      <c r="J659" t="inlineStr">
        <is>
          <t>HL7 ValueSet expand (2026-06-09)</t>
        </is>
      </c>
      <c r="K659" t="inlineStr">
        <is>
          <t>false</t>
        </is>
      </c>
    </row>
    <row r="660">
      <c r="A660" t="inlineStr">
        <is>
          <t>Patient.race</t>
        </is>
      </c>
      <c r="B660" t="inlineStr">
        <is>
          <t>urn:oid:2.16.840.1.113883.6.238</t>
        </is>
      </c>
      <c r="C660" t="inlineStr">
        <is>
          <t>1825-9</t>
        </is>
      </c>
      <c r="D660" t="inlineStr">
        <is>
          <t>Kenaitze</t>
        </is>
      </c>
      <c r="E660" t="inlineStr">
        <is>
          <t>detailed</t>
        </is>
      </c>
      <c r="F660" t="inlineStr">
        <is>
          <t>primary</t>
        </is>
      </c>
      <c r="G660" t="inlineStr">
        <is>
          <t>required</t>
        </is>
      </c>
      <c r="H660" t="inlineStr">
        <is>
          <t>true</t>
        </is>
      </c>
      <c r="I660" t="inlineStr">
        <is>
          <t>747</t>
        </is>
      </c>
      <c r="J660" t="inlineStr">
        <is>
          <t>HL7 ValueSet expand (2026-06-09)</t>
        </is>
      </c>
      <c r="K660" t="inlineStr">
        <is>
          <t>false</t>
        </is>
      </c>
    </row>
    <row r="661">
      <c r="A661" t="inlineStr">
        <is>
          <t>Patient.race</t>
        </is>
      </c>
      <c r="B661" t="inlineStr">
        <is>
          <t>urn:oid:2.16.840.1.113883.6.238</t>
        </is>
      </c>
      <c r="C661" t="inlineStr">
        <is>
          <t>1826-7</t>
        </is>
      </c>
      <c r="D661" t="inlineStr">
        <is>
          <t>Ketchikan</t>
        </is>
      </c>
      <c r="E661" t="inlineStr">
        <is>
          <t>detailed</t>
        </is>
      </c>
      <c r="F661" t="inlineStr">
        <is>
          <t>primary</t>
        </is>
      </c>
      <c r="G661" t="inlineStr">
        <is>
          <t>required</t>
        </is>
      </c>
      <c r="H661" t="inlineStr">
        <is>
          <t>true</t>
        </is>
      </c>
      <c r="I661" t="inlineStr">
        <is>
          <t>748</t>
        </is>
      </c>
      <c r="J661" t="inlineStr">
        <is>
          <t>HL7 ValueSet expand (2026-06-09)</t>
        </is>
      </c>
      <c r="K661" t="inlineStr">
        <is>
          <t>false</t>
        </is>
      </c>
    </row>
    <row r="662">
      <c r="A662" t="inlineStr">
        <is>
          <t>Patient.race</t>
        </is>
      </c>
      <c r="B662" t="inlineStr">
        <is>
          <t>urn:oid:2.16.840.1.113883.6.238</t>
        </is>
      </c>
      <c r="C662" t="inlineStr">
        <is>
          <t>1827-5</t>
        </is>
      </c>
      <c r="D662" t="inlineStr">
        <is>
          <t>Klawock</t>
        </is>
      </c>
      <c r="E662" t="inlineStr">
        <is>
          <t>detailed</t>
        </is>
      </c>
      <c r="F662" t="inlineStr">
        <is>
          <t>primary</t>
        </is>
      </c>
      <c r="G662" t="inlineStr">
        <is>
          <t>required</t>
        </is>
      </c>
      <c r="H662" t="inlineStr">
        <is>
          <t>true</t>
        </is>
      </c>
      <c r="I662" t="inlineStr">
        <is>
          <t>749</t>
        </is>
      </c>
      <c r="J662" t="inlineStr">
        <is>
          <t>HL7 ValueSet expand (2026-06-09)</t>
        </is>
      </c>
      <c r="K662" t="inlineStr">
        <is>
          <t>false</t>
        </is>
      </c>
    </row>
    <row r="663">
      <c r="A663" t="inlineStr">
        <is>
          <t>Patient.race</t>
        </is>
      </c>
      <c r="B663" t="inlineStr">
        <is>
          <t>urn:oid:2.16.840.1.113883.6.238</t>
        </is>
      </c>
      <c r="C663" t="inlineStr">
        <is>
          <t>1828-3</t>
        </is>
      </c>
      <c r="D663" t="inlineStr">
        <is>
          <t>Pelican</t>
        </is>
      </c>
      <c r="E663" t="inlineStr">
        <is>
          <t>detailed</t>
        </is>
      </c>
      <c r="F663" t="inlineStr">
        <is>
          <t>primary</t>
        </is>
      </c>
      <c r="G663" t="inlineStr">
        <is>
          <t>required</t>
        </is>
      </c>
      <c r="H663" t="inlineStr">
        <is>
          <t>true</t>
        </is>
      </c>
      <c r="I663" t="inlineStr">
        <is>
          <t>750</t>
        </is>
      </c>
      <c r="J663" t="inlineStr">
        <is>
          <t>HL7 ValueSet expand (2026-06-09)</t>
        </is>
      </c>
      <c r="K663" t="inlineStr">
        <is>
          <t>false</t>
        </is>
      </c>
    </row>
    <row r="664">
      <c r="A664" t="inlineStr">
        <is>
          <t>Patient.race</t>
        </is>
      </c>
      <c r="B664" t="inlineStr">
        <is>
          <t>urn:oid:2.16.840.1.113883.6.238</t>
        </is>
      </c>
      <c r="C664" t="inlineStr">
        <is>
          <t>1829-1</t>
        </is>
      </c>
      <c r="D664" t="inlineStr">
        <is>
          <t>Petersburg</t>
        </is>
      </c>
      <c r="E664" t="inlineStr">
        <is>
          <t>detailed</t>
        </is>
      </c>
      <c r="F664" t="inlineStr">
        <is>
          <t>primary</t>
        </is>
      </c>
      <c r="G664" t="inlineStr">
        <is>
          <t>required</t>
        </is>
      </c>
      <c r="H664" t="inlineStr">
        <is>
          <t>true</t>
        </is>
      </c>
      <c r="I664" t="inlineStr">
        <is>
          <t>751</t>
        </is>
      </c>
      <c r="J664" t="inlineStr">
        <is>
          <t>HL7 ValueSet expand (2026-06-09)</t>
        </is>
      </c>
      <c r="K664" t="inlineStr">
        <is>
          <t>false</t>
        </is>
      </c>
    </row>
    <row r="665">
      <c r="A665" t="inlineStr">
        <is>
          <t>Patient.race</t>
        </is>
      </c>
      <c r="B665" t="inlineStr">
        <is>
          <t>urn:oid:2.16.840.1.113883.6.238</t>
        </is>
      </c>
      <c r="C665" t="inlineStr">
        <is>
          <t>1830-9</t>
        </is>
      </c>
      <c r="D665" t="inlineStr">
        <is>
          <t>Saxman</t>
        </is>
      </c>
      <c r="E665" t="inlineStr">
        <is>
          <t>detailed</t>
        </is>
      </c>
      <c r="F665" t="inlineStr">
        <is>
          <t>primary</t>
        </is>
      </c>
      <c r="G665" t="inlineStr">
        <is>
          <t>required</t>
        </is>
      </c>
      <c r="H665" t="inlineStr">
        <is>
          <t>true</t>
        </is>
      </c>
      <c r="I665" t="inlineStr">
        <is>
          <t>752</t>
        </is>
      </c>
      <c r="J665" t="inlineStr">
        <is>
          <t>HL7 ValueSet expand (2026-06-09)</t>
        </is>
      </c>
      <c r="K665" t="inlineStr">
        <is>
          <t>false</t>
        </is>
      </c>
    </row>
    <row r="666">
      <c r="A666" t="inlineStr">
        <is>
          <t>Patient.race</t>
        </is>
      </c>
      <c r="B666" t="inlineStr">
        <is>
          <t>urn:oid:2.16.840.1.113883.6.238</t>
        </is>
      </c>
      <c r="C666" t="inlineStr">
        <is>
          <t>1831-7</t>
        </is>
      </c>
      <c r="D666" t="inlineStr">
        <is>
          <t>Sitka</t>
        </is>
      </c>
      <c r="E666" t="inlineStr">
        <is>
          <t>detailed</t>
        </is>
      </c>
      <c r="F666" t="inlineStr">
        <is>
          <t>primary</t>
        </is>
      </c>
      <c r="G666" t="inlineStr">
        <is>
          <t>required</t>
        </is>
      </c>
      <c r="H666" t="inlineStr">
        <is>
          <t>true</t>
        </is>
      </c>
      <c r="I666" t="inlineStr">
        <is>
          <t>753</t>
        </is>
      </c>
      <c r="J666" t="inlineStr">
        <is>
          <t>HL7 ValueSet expand (2026-06-09)</t>
        </is>
      </c>
      <c r="K666" t="inlineStr">
        <is>
          <t>false</t>
        </is>
      </c>
    </row>
    <row r="667">
      <c r="A667" t="inlineStr">
        <is>
          <t>Patient.race</t>
        </is>
      </c>
      <c r="B667" t="inlineStr">
        <is>
          <t>urn:oid:2.16.840.1.113883.6.238</t>
        </is>
      </c>
      <c r="C667" t="inlineStr">
        <is>
          <t>1832-5</t>
        </is>
      </c>
      <c r="D667" t="inlineStr">
        <is>
          <t>Tenakee Springs</t>
        </is>
      </c>
      <c r="E667" t="inlineStr">
        <is>
          <t>detailed</t>
        </is>
      </c>
      <c r="F667" t="inlineStr">
        <is>
          <t>primary</t>
        </is>
      </c>
      <c r="G667" t="inlineStr">
        <is>
          <t>required</t>
        </is>
      </c>
      <c r="H667" t="inlineStr">
        <is>
          <t>true</t>
        </is>
      </c>
      <c r="I667" t="inlineStr">
        <is>
          <t>754</t>
        </is>
      </c>
      <c r="J667" t="inlineStr">
        <is>
          <t>HL7 ValueSet expand (2026-06-09)</t>
        </is>
      </c>
      <c r="K667" t="inlineStr">
        <is>
          <t>false</t>
        </is>
      </c>
    </row>
    <row r="668">
      <c r="A668" t="inlineStr">
        <is>
          <t>Patient.race</t>
        </is>
      </c>
      <c r="B668" t="inlineStr">
        <is>
          <t>urn:oid:2.16.840.1.113883.6.238</t>
        </is>
      </c>
      <c r="C668" t="inlineStr">
        <is>
          <t>1833-3</t>
        </is>
      </c>
      <c r="D668" t="inlineStr">
        <is>
          <t>Tlingit</t>
        </is>
      </c>
      <c r="E668" t="inlineStr">
        <is>
          <t>detailed</t>
        </is>
      </c>
      <c r="F668" t="inlineStr">
        <is>
          <t>primary</t>
        </is>
      </c>
      <c r="G668" t="inlineStr">
        <is>
          <t>required</t>
        </is>
      </c>
      <c r="H668" t="inlineStr">
        <is>
          <t>true</t>
        </is>
      </c>
      <c r="I668" t="inlineStr">
        <is>
          <t>755</t>
        </is>
      </c>
      <c r="J668" t="inlineStr">
        <is>
          <t>HL7 ValueSet expand (2026-06-09)</t>
        </is>
      </c>
      <c r="K668" t="inlineStr">
        <is>
          <t>false</t>
        </is>
      </c>
    </row>
    <row r="669">
      <c r="A669" t="inlineStr">
        <is>
          <t>Patient.race</t>
        </is>
      </c>
      <c r="B669" t="inlineStr">
        <is>
          <t>urn:oid:2.16.840.1.113883.6.238</t>
        </is>
      </c>
      <c r="C669" t="inlineStr">
        <is>
          <t>1834-1</t>
        </is>
      </c>
      <c r="D669" t="inlineStr">
        <is>
          <t>Wrangell</t>
        </is>
      </c>
      <c r="E669" t="inlineStr">
        <is>
          <t>detailed</t>
        </is>
      </c>
      <c r="F669" t="inlineStr">
        <is>
          <t>primary</t>
        </is>
      </c>
      <c r="G669" t="inlineStr">
        <is>
          <t>required</t>
        </is>
      </c>
      <c r="H669" t="inlineStr">
        <is>
          <t>true</t>
        </is>
      </c>
      <c r="I669" t="inlineStr">
        <is>
          <t>756</t>
        </is>
      </c>
      <c r="J669" t="inlineStr">
        <is>
          <t>HL7 ValueSet expand (2026-06-09)</t>
        </is>
      </c>
      <c r="K669" t="inlineStr">
        <is>
          <t>false</t>
        </is>
      </c>
    </row>
    <row r="670">
      <c r="A670" t="inlineStr">
        <is>
          <t>Patient.race</t>
        </is>
      </c>
      <c r="B670" t="inlineStr">
        <is>
          <t>urn:oid:2.16.840.1.113883.6.238</t>
        </is>
      </c>
      <c r="C670" t="inlineStr">
        <is>
          <t>1835-8</t>
        </is>
      </c>
      <c r="D670" t="inlineStr">
        <is>
          <t>Yakutat</t>
        </is>
      </c>
      <c r="E670" t="inlineStr">
        <is>
          <t>detailed</t>
        </is>
      </c>
      <c r="F670" t="inlineStr">
        <is>
          <t>primary</t>
        </is>
      </c>
      <c r="G670" t="inlineStr">
        <is>
          <t>required</t>
        </is>
      </c>
      <c r="H670" t="inlineStr">
        <is>
          <t>true</t>
        </is>
      </c>
      <c r="I670" t="inlineStr">
        <is>
          <t>757</t>
        </is>
      </c>
      <c r="J670" t="inlineStr">
        <is>
          <t>HL7 ValueSet expand (2026-06-09)</t>
        </is>
      </c>
      <c r="K670" t="inlineStr">
        <is>
          <t>false</t>
        </is>
      </c>
    </row>
    <row r="671">
      <c r="A671" t="inlineStr">
        <is>
          <t>Patient.race</t>
        </is>
      </c>
      <c r="B671" t="inlineStr">
        <is>
          <t>urn:oid:2.16.840.1.113883.6.238</t>
        </is>
      </c>
      <c r="C671" t="inlineStr">
        <is>
          <t>1837-4</t>
        </is>
      </c>
      <c r="D671" t="inlineStr">
        <is>
          <t>Tsimshian</t>
        </is>
      </c>
      <c r="E671" t="inlineStr">
        <is>
          <t>detailed</t>
        </is>
      </c>
      <c r="F671" t="inlineStr">
        <is>
          <t>primary</t>
        </is>
      </c>
      <c r="G671" t="inlineStr">
        <is>
          <t>required</t>
        </is>
      </c>
      <c r="H671" t="inlineStr">
        <is>
          <t>true</t>
        </is>
      </c>
      <c r="I671" t="inlineStr">
        <is>
          <t>758</t>
        </is>
      </c>
      <c r="J671" t="inlineStr">
        <is>
          <t>HL7 ValueSet expand (2026-06-09)</t>
        </is>
      </c>
      <c r="K671" t="inlineStr">
        <is>
          <t>false</t>
        </is>
      </c>
    </row>
    <row r="672">
      <c r="A672" t="inlineStr">
        <is>
          <t>Patient.race</t>
        </is>
      </c>
      <c r="B672" t="inlineStr">
        <is>
          <t>urn:oid:2.16.840.1.113883.6.238</t>
        </is>
      </c>
      <c r="C672" t="inlineStr">
        <is>
          <t>1838-2</t>
        </is>
      </c>
      <c r="D672" t="inlineStr">
        <is>
          <t>Metlakatla</t>
        </is>
      </c>
      <c r="E672" t="inlineStr">
        <is>
          <t>detailed</t>
        </is>
      </c>
      <c r="F672" t="inlineStr">
        <is>
          <t>primary</t>
        </is>
      </c>
      <c r="G672" t="inlineStr">
        <is>
          <t>required</t>
        </is>
      </c>
      <c r="H672" t="inlineStr">
        <is>
          <t>true</t>
        </is>
      </c>
      <c r="I672" t="inlineStr">
        <is>
          <t>759</t>
        </is>
      </c>
      <c r="J672" t="inlineStr">
        <is>
          <t>HL7 ValueSet expand (2026-06-09)</t>
        </is>
      </c>
      <c r="K672" t="inlineStr">
        <is>
          <t>false</t>
        </is>
      </c>
    </row>
    <row r="673">
      <c r="A673" t="inlineStr">
        <is>
          <t>Patient.race</t>
        </is>
      </c>
      <c r="B673" t="inlineStr">
        <is>
          <t>urn:oid:2.16.840.1.113883.6.238</t>
        </is>
      </c>
      <c r="C673" t="inlineStr">
        <is>
          <t>1840-8</t>
        </is>
      </c>
      <c r="D673" t="inlineStr">
        <is>
          <t>Eskimo</t>
        </is>
      </c>
      <c r="E673" t="inlineStr">
        <is>
          <t>detailed</t>
        </is>
      </c>
      <c r="F673" t="inlineStr">
        <is>
          <t>primary</t>
        </is>
      </c>
      <c r="G673" t="inlineStr">
        <is>
          <t>required</t>
        </is>
      </c>
      <c r="H673" t="inlineStr">
        <is>
          <t>true</t>
        </is>
      </c>
      <c r="I673" t="inlineStr">
        <is>
          <t>760</t>
        </is>
      </c>
      <c r="J673" t="inlineStr">
        <is>
          <t>HL7 ValueSet expand (2026-06-09)</t>
        </is>
      </c>
      <c r="K673" t="inlineStr">
        <is>
          <t>false</t>
        </is>
      </c>
    </row>
    <row r="674">
      <c r="A674" t="inlineStr">
        <is>
          <t>Patient.race</t>
        </is>
      </c>
      <c r="B674" t="inlineStr">
        <is>
          <t>urn:oid:2.16.840.1.113883.6.238</t>
        </is>
      </c>
      <c r="C674" t="inlineStr">
        <is>
          <t>1842-4</t>
        </is>
      </c>
      <c r="D674" t="inlineStr">
        <is>
          <t>Greenland Eskimo</t>
        </is>
      </c>
      <c r="E674" t="inlineStr">
        <is>
          <t>detailed</t>
        </is>
      </c>
      <c r="F674" t="inlineStr">
        <is>
          <t>primary</t>
        </is>
      </c>
      <c r="G674" t="inlineStr">
        <is>
          <t>required</t>
        </is>
      </c>
      <c r="H674" t="inlineStr">
        <is>
          <t>true</t>
        </is>
      </c>
      <c r="I674" t="inlineStr">
        <is>
          <t>761</t>
        </is>
      </c>
      <c r="J674" t="inlineStr">
        <is>
          <t>HL7 ValueSet expand (2026-06-09)</t>
        </is>
      </c>
      <c r="K674" t="inlineStr">
        <is>
          <t>false</t>
        </is>
      </c>
    </row>
    <row r="675">
      <c r="A675" t="inlineStr">
        <is>
          <t>Patient.race</t>
        </is>
      </c>
      <c r="B675" t="inlineStr">
        <is>
          <t>urn:oid:2.16.840.1.113883.6.238</t>
        </is>
      </c>
      <c r="C675" t="inlineStr">
        <is>
          <t>1844-0</t>
        </is>
      </c>
      <c r="D675" t="inlineStr">
        <is>
          <t>Inupiat Eskimo</t>
        </is>
      </c>
      <c r="E675" t="inlineStr">
        <is>
          <t>detailed</t>
        </is>
      </c>
      <c r="F675" t="inlineStr">
        <is>
          <t>primary</t>
        </is>
      </c>
      <c r="G675" t="inlineStr">
        <is>
          <t>required</t>
        </is>
      </c>
      <c r="H675" t="inlineStr">
        <is>
          <t>true</t>
        </is>
      </c>
      <c r="I675" t="inlineStr">
        <is>
          <t>762</t>
        </is>
      </c>
      <c r="J675" t="inlineStr">
        <is>
          <t>HL7 ValueSet expand (2026-06-09)</t>
        </is>
      </c>
      <c r="K675" t="inlineStr">
        <is>
          <t>false</t>
        </is>
      </c>
    </row>
    <row r="676">
      <c r="A676" t="inlineStr">
        <is>
          <t>Patient.race</t>
        </is>
      </c>
      <c r="B676" t="inlineStr">
        <is>
          <t>urn:oid:2.16.840.1.113883.6.238</t>
        </is>
      </c>
      <c r="C676" t="inlineStr">
        <is>
          <t>1845-7</t>
        </is>
      </c>
      <c r="D676" t="inlineStr">
        <is>
          <t>Ambler</t>
        </is>
      </c>
      <c r="E676" t="inlineStr">
        <is>
          <t>detailed</t>
        </is>
      </c>
      <c r="F676" t="inlineStr">
        <is>
          <t>primary</t>
        </is>
      </c>
      <c r="G676" t="inlineStr">
        <is>
          <t>required</t>
        </is>
      </c>
      <c r="H676" t="inlineStr">
        <is>
          <t>true</t>
        </is>
      </c>
      <c r="I676" t="inlineStr">
        <is>
          <t>763</t>
        </is>
      </c>
      <c r="J676" t="inlineStr">
        <is>
          <t>HL7 ValueSet expand (2026-06-09)</t>
        </is>
      </c>
      <c r="K676" t="inlineStr">
        <is>
          <t>false</t>
        </is>
      </c>
    </row>
    <row r="677">
      <c r="A677" t="inlineStr">
        <is>
          <t>Patient.race</t>
        </is>
      </c>
      <c r="B677" t="inlineStr">
        <is>
          <t>urn:oid:2.16.840.1.113883.6.238</t>
        </is>
      </c>
      <c r="C677" t="inlineStr">
        <is>
          <t>1846-5</t>
        </is>
      </c>
      <c r="D677" t="inlineStr">
        <is>
          <t>Anaktuvuk</t>
        </is>
      </c>
      <c r="E677" t="inlineStr">
        <is>
          <t>detailed</t>
        </is>
      </c>
      <c r="F677" t="inlineStr">
        <is>
          <t>primary</t>
        </is>
      </c>
      <c r="G677" t="inlineStr">
        <is>
          <t>required</t>
        </is>
      </c>
      <c r="H677" t="inlineStr">
        <is>
          <t>true</t>
        </is>
      </c>
      <c r="I677" t="inlineStr">
        <is>
          <t>764</t>
        </is>
      </c>
      <c r="J677" t="inlineStr">
        <is>
          <t>HL7 ValueSet expand (2026-06-09)</t>
        </is>
      </c>
      <c r="K677" t="inlineStr">
        <is>
          <t>false</t>
        </is>
      </c>
    </row>
    <row r="678">
      <c r="A678" t="inlineStr">
        <is>
          <t>Patient.race</t>
        </is>
      </c>
      <c r="B678" t="inlineStr">
        <is>
          <t>urn:oid:2.16.840.1.113883.6.238</t>
        </is>
      </c>
      <c r="C678" t="inlineStr">
        <is>
          <t>1847-3</t>
        </is>
      </c>
      <c r="D678" t="inlineStr">
        <is>
          <t>Anaktuvuk Pass</t>
        </is>
      </c>
      <c r="E678" t="inlineStr">
        <is>
          <t>detailed</t>
        </is>
      </c>
      <c r="F678" t="inlineStr">
        <is>
          <t>primary</t>
        </is>
      </c>
      <c r="G678" t="inlineStr">
        <is>
          <t>required</t>
        </is>
      </c>
      <c r="H678" t="inlineStr">
        <is>
          <t>true</t>
        </is>
      </c>
      <c r="I678" t="inlineStr">
        <is>
          <t>765</t>
        </is>
      </c>
      <c r="J678" t="inlineStr">
        <is>
          <t>HL7 ValueSet expand (2026-06-09)</t>
        </is>
      </c>
      <c r="K678" t="inlineStr">
        <is>
          <t>false</t>
        </is>
      </c>
    </row>
    <row r="679">
      <c r="A679" t="inlineStr">
        <is>
          <t>Patient.race</t>
        </is>
      </c>
      <c r="B679" t="inlineStr">
        <is>
          <t>urn:oid:2.16.840.1.113883.6.238</t>
        </is>
      </c>
      <c r="C679" t="inlineStr">
        <is>
          <t>1848-1</t>
        </is>
      </c>
      <c r="D679" t="inlineStr">
        <is>
          <t>Arctic Slope Inupiat</t>
        </is>
      </c>
      <c r="E679" t="inlineStr">
        <is>
          <t>detailed</t>
        </is>
      </c>
      <c r="F679" t="inlineStr">
        <is>
          <t>primary</t>
        </is>
      </c>
      <c r="G679" t="inlineStr">
        <is>
          <t>required</t>
        </is>
      </c>
      <c r="H679" t="inlineStr">
        <is>
          <t>true</t>
        </is>
      </c>
      <c r="I679" t="inlineStr">
        <is>
          <t>766</t>
        </is>
      </c>
      <c r="J679" t="inlineStr">
        <is>
          <t>HL7 ValueSet expand (2026-06-09)</t>
        </is>
      </c>
      <c r="K679" t="inlineStr">
        <is>
          <t>false</t>
        </is>
      </c>
    </row>
    <row r="680">
      <c r="A680" t="inlineStr">
        <is>
          <t>Patient.race</t>
        </is>
      </c>
      <c r="B680" t="inlineStr">
        <is>
          <t>urn:oid:2.16.840.1.113883.6.238</t>
        </is>
      </c>
      <c r="C680" t="inlineStr">
        <is>
          <t>1849-9</t>
        </is>
      </c>
      <c r="D680" t="inlineStr">
        <is>
          <t>Arctic Slope Corporation</t>
        </is>
      </c>
      <c r="E680" t="inlineStr">
        <is>
          <t>detailed</t>
        </is>
      </c>
      <c r="F680" t="inlineStr">
        <is>
          <t>primary</t>
        </is>
      </c>
      <c r="G680" t="inlineStr">
        <is>
          <t>required</t>
        </is>
      </c>
      <c r="H680" t="inlineStr">
        <is>
          <t>true</t>
        </is>
      </c>
      <c r="I680" t="inlineStr">
        <is>
          <t>767</t>
        </is>
      </c>
      <c r="J680" t="inlineStr">
        <is>
          <t>HL7 ValueSet expand (2026-06-09)</t>
        </is>
      </c>
      <c r="K680" t="inlineStr">
        <is>
          <t>false</t>
        </is>
      </c>
    </row>
    <row r="681">
      <c r="A681" t="inlineStr">
        <is>
          <t>Patient.race</t>
        </is>
      </c>
      <c r="B681" t="inlineStr">
        <is>
          <t>urn:oid:2.16.840.1.113883.6.238</t>
        </is>
      </c>
      <c r="C681" t="inlineStr">
        <is>
          <t>1850-7</t>
        </is>
      </c>
      <c r="D681" t="inlineStr">
        <is>
          <t>Atqasuk</t>
        </is>
      </c>
      <c r="E681" t="inlineStr">
        <is>
          <t>detailed</t>
        </is>
      </c>
      <c r="F681" t="inlineStr">
        <is>
          <t>primary</t>
        </is>
      </c>
      <c r="G681" t="inlineStr">
        <is>
          <t>required</t>
        </is>
      </c>
      <c r="H681" t="inlineStr">
        <is>
          <t>true</t>
        </is>
      </c>
      <c r="I681" t="inlineStr">
        <is>
          <t>768</t>
        </is>
      </c>
      <c r="J681" t="inlineStr">
        <is>
          <t>HL7 ValueSet expand (2026-06-09)</t>
        </is>
      </c>
      <c r="K681" t="inlineStr">
        <is>
          <t>false</t>
        </is>
      </c>
    </row>
    <row r="682">
      <c r="A682" t="inlineStr">
        <is>
          <t>Patient.race</t>
        </is>
      </c>
      <c r="B682" t="inlineStr">
        <is>
          <t>urn:oid:2.16.840.1.113883.6.238</t>
        </is>
      </c>
      <c r="C682" t="inlineStr">
        <is>
          <t>1851-5</t>
        </is>
      </c>
      <c r="D682" t="inlineStr">
        <is>
          <t>Barrow</t>
        </is>
      </c>
      <c r="E682" t="inlineStr">
        <is>
          <t>detailed</t>
        </is>
      </c>
      <c r="F682" t="inlineStr">
        <is>
          <t>primary</t>
        </is>
      </c>
      <c r="G682" t="inlineStr">
        <is>
          <t>required</t>
        </is>
      </c>
      <c r="H682" t="inlineStr">
        <is>
          <t>true</t>
        </is>
      </c>
      <c r="I682" t="inlineStr">
        <is>
          <t>769</t>
        </is>
      </c>
      <c r="J682" t="inlineStr">
        <is>
          <t>HL7 ValueSet expand (2026-06-09)</t>
        </is>
      </c>
      <c r="K682" t="inlineStr">
        <is>
          <t>false</t>
        </is>
      </c>
    </row>
    <row r="683">
      <c r="A683" t="inlineStr">
        <is>
          <t>Patient.race</t>
        </is>
      </c>
      <c r="B683" t="inlineStr">
        <is>
          <t>urn:oid:2.16.840.1.113883.6.238</t>
        </is>
      </c>
      <c r="C683" t="inlineStr">
        <is>
          <t>1852-3</t>
        </is>
      </c>
      <c r="D683" t="inlineStr">
        <is>
          <t>Bering Straits Inupiat</t>
        </is>
      </c>
      <c r="E683" t="inlineStr">
        <is>
          <t>detailed</t>
        </is>
      </c>
      <c r="F683" t="inlineStr">
        <is>
          <t>primary</t>
        </is>
      </c>
      <c r="G683" t="inlineStr">
        <is>
          <t>required</t>
        </is>
      </c>
      <c r="H683" t="inlineStr">
        <is>
          <t>true</t>
        </is>
      </c>
      <c r="I683" t="inlineStr">
        <is>
          <t>770</t>
        </is>
      </c>
      <c r="J683" t="inlineStr">
        <is>
          <t>HL7 ValueSet expand (2026-06-09)</t>
        </is>
      </c>
      <c r="K683" t="inlineStr">
        <is>
          <t>false</t>
        </is>
      </c>
    </row>
    <row r="684">
      <c r="A684" t="inlineStr">
        <is>
          <t>Patient.race</t>
        </is>
      </c>
      <c r="B684" t="inlineStr">
        <is>
          <t>urn:oid:2.16.840.1.113883.6.238</t>
        </is>
      </c>
      <c r="C684" t="inlineStr">
        <is>
          <t>1853-1</t>
        </is>
      </c>
      <c r="D684" t="inlineStr">
        <is>
          <t>Brevig Mission</t>
        </is>
      </c>
      <c r="E684" t="inlineStr">
        <is>
          <t>detailed</t>
        </is>
      </c>
      <c r="F684" t="inlineStr">
        <is>
          <t>primary</t>
        </is>
      </c>
      <c r="G684" t="inlineStr">
        <is>
          <t>required</t>
        </is>
      </c>
      <c r="H684" t="inlineStr">
        <is>
          <t>true</t>
        </is>
      </c>
      <c r="I684" t="inlineStr">
        <is>
          <t>771</t>
        </is>
      </c>
      <c r="J684" t="inlineStr">
        <is>
          <t>HL7 ValueSet expand (2026-06-09)</t>
        </is>
      </c>
      <c r="K684" t="inlineStr">
        <is>
          <t>false</t>
        </is>
      </c>
    </row>
    <row r="685">
      <c r="A685" t="inlineStr">
        <is>
          <t>Patient.race</t>
        </is>
      </c>
      <c r="B685" t="inlineStr">
        <is>
          <t>urn:oid:2.16.840.1.113883.6.238</t>
        </is>
      </c>
      <c r="C685" t="inlineStr">
        <is>
          <t>1854-9</t>
        </is>
      </c>
      <c r="D685" t="inlineStr">
        <is>
          <t>Buckland</t>
        </is>
      </c>
      <c r="E685" t="inlineStr">
        <is>
          <t>detailed</t>
        </is>
      </c>
      <c r="F685" t="inlineStr">
        <is>
          <t>primary</t>
        </is>
      </c>
      <c r="G685" t="inlineStr">
        <is>
          <t>required</t>
        </is>
      </c>
      <c r="H685" t="inlineStr">
        <is>
          <t>true</t>
        </is>
      </c>
      <c r="I685" t="inlineStr">
        <is>
          <t>772</t>
        </is>
      </c>
      <c r="J685" t="inlineStr">
        <is>
          <t>HL7 ValueSet expand (2026-06-09)</t>
        </is>
      </c>
      <c r="K685" t="inlineStr">
        <is>
          <t>false</t>
        </is>
      </c>
    </row>
    <row r="686">
      <c r="A686" t="inlineStr">
        <is>
          <t>Patient.race</t>
        </is>
      </c>
      <c r="B686" t="inlineStr">
        <is>
          <t>urn:oid:2.16.840.1.113883.6.238</t>
        </is>
      </c>
      <c r="C686" t="inlineStr">
        <is>
          <t>1855-6</t>
        </is>
      </c>
      <c r="D686" t="inlineStr">
        <is>
          <t>Chinik</t>
        </is>
      </c>
      <c r="E686" t="inlineStr">
        <is>
          <t>detailed</t>
        </is>
      </c>
      <c r="F686" t="inlineStr">
        <is>
          <t>primary</t>
        </is>
      </c>
      <c r="G686" t="inlineStr">
        <is>
          <t>required</t>
        </is>
      </c>
      <c r="H686" t="inlineStr">
        <is>
          <t>true</t>
        </is>
      </c>
      <c r="I686" t="inlineStr">
        <is>
          <t>773</t>
        </is>
      </c>
      <c r="J686" t="inlineStr">
        <is>
          <t>HL7 ValueSet expand (2026-06-09)</t>
        </is>
      </c>
      <c r="K686" t="inlineStr">
        <is>
          <t>false</t>
        </is>
      </c>
    </row>
    <row r="687">
      <c r="A687" t="inlineStr">
        <is>
          <t>Patient.race</t>
        </is>
      </c>
      <c r="B687" t="inlineStr">
        <is>
          <t>urn:oid:2.16.840.1.113883.6.238</t>
        </is>
      </c>
      <c r="C687" t="inlineStr">
        <is>
          <t>1856-4</t>
        </is>
      </c>
      <c r="D687" t="inlineStr">
        <is>
          <t>Council</t>
        </is>
      </c>
      <c r="E687" t="inlineStr">
        <is>
          <t>detailed</t>
        </is>
      </c>
      <c r="F687" t="inlineStr">
        <is>
          <t>primary</t>
        </is>
      </c>
      <c r="G687" t="inlineStr">
        <is>
          <t>required</t>
        </is>
      </c>
      <c r="H687" t="inlineStr">
        <is>
          <t>true</t>
        </is>
      </c>
      <c r="I687" t="inlineStr">
        <is>
          <t>774</t>
        </is>
      </c>
      <c r="J687" t="inlineStr">
        <is>
          <t>HL7 ValueSet expand (2026-06-09)</t>
        </is>
      </c>
      <c r="K687" t="inlineStr">
        <is>
          <t>false</t>
        </is>
      </c>
    </row>
    <row r="688">
      <c r="A688" t="inlineStr">
        <is>
          <t>Patient.race</t>
        </is>
      </c>
      <c r="B688" t="inlineStr">
        <is>
          <t>urn:oid:2.16.840.1.113883.6.238</t>
        </is>
      </c>
      <c r="C688" t="inlineStr">
        <is>
          <t>1857-2</t>
        </is>
      </c>
      <c r="D688" t="inlineStr">
        <is>
          <t>Deering</t>
        </is>
      </c>
      <c r="E688" t="inlineStr">
        <is>
          <t>detailed</t>
        </is>
      </c>
      <c r="F688" t="inlineStr">
        <is>
          <t>primary</t>
        </is>
      </c>
      <c r="G688" t="inlineStr">
        <is>
          <t>required</t>
        </is>
      </c>
      <c r="H688" t="inlineStr">
        <is>
          <t>true</t>
        </is>
      </c>
      <c r="I688" t="inlineStr">
        <is>
          <t>775</t>
        </is>
      </c>
      <c r="J688" t="inlineStr">
        <is>
          <t>HL7 ValueSet expand (2026-06-09)</t>
        </is>
      </c>
      <c r="K688" t="inlineStr">
        <is>
          <t>false</t>
        </is>
      </c>
    </row>
    <row r="689">
      <c r="A689" t="inlineStr">
        <is>
          <t>Patient.race</t>
        </is>
      </c>
      <c r="B689" t="inlineStr">
        <is>
          <t>urn:oid:2.16.840.1.113883.6.238</t>
        </is>
      </c>
      <c r="C689" t="inlineStr">
        <is>
          <t>1858-0</t>
        </is>
      </c>
      <c r="D689" t="inlineStr">
        <is>
          <t>Elim</t>
        </is>
      </c>
      <c r="E689" t="inlineStr">
        <is>
          <t>detailed</t>
        </is>
      </c>
      <c r="F689" t="inlineStr">
        <is>
          <t>primary</t>
        </is>
      </c>
      <c r="G689" t="inlineStr">
        <is>
          <t>required</t>
        </is>
      </c>
      <c r="H689" t="inlineStr">
        <is>
          <t>true</t>
        </is>
      </c>
      <c r="I689" t="inlineStr">
        <is>
          <t>776</t>
        </is>
      </c>
      <c r="J689" t="inlineStr">
        <is>
          <t>HL7 ValueSet expand (2026-06-09)</t>
        </is>
      </c>
      <c r="K689" t="inlineStr">
        <is>
          <t>false</t>
        </is>
      </c>
    </row>
    <row r="690">
      <c r="A690" t="inlineStr">
        <is>
          <t>Patient.race</t>
        </is>
      </c>
      <c r="B690" t="inlineStr">
        <is>
          <t>urn:oid:2.16.840.1.113883.6.238</t>
        </is>
      </c>
      <c r="C690" t="inlineStr">
        <is>
          <t>1859-8</t>
        </is>
      </c>
      <c r="D690" t="inlineStr">
        <is>
          <t>Golovin</t>
        </is>
      </c>
      <c r="E690" t="inlineStr">
        <is>
          <t>detailed</t>
        </is>
      </c>
      <c r="F690" t="inlineStr">
        <is>
          <t>primary</t>
        </is>
      </c>
      <c r="G690" t="inlineStr">
        <is>
          <t>required</t>
        </is>
      </c>
      <c r="H690" t="inlineStr">
        <is>
          <t>true</t>
        </is>
      </c>
      <c r="I690" t="inlineStr">
        <is>
          <t>777</t>
        </is>
      </c>
      <c r="J690" t="inlineStr">
        <is>
          <t>HL7 ValueSet expand (2026-06-09)</t>
        </is>
      </c>
      <c r="K690" t="inlineStr">
        <is>
          <t>false</t>
        </is>
      </c>
    </row>
    <row r="691">
      <c r="A691" t="inlineStr">
        <is>
          <t>Patient.race</t>
        </is>
      </c>
      <c r="B691" t="inlineStr">
        <is>
          <t>urn:oid:2.16.840.1.113883.6.238</t>
        </is>
      </c>
      <c r="C691" t="inlineStr">
        <is>
          <t>1860-6</t>
        </is>
      </c>
      <c r="D691" t="inlineStr">
        <is>
          <t>Inalik Diomede</t>
        </is>
      </c>
      <c r="E691" t="inlineStr">
        <is>
          <t>detailed</t>
        </is>
      </c>
      <c r="F691" t="inlineStr">
        <is>
          <t>primary</t>
        </is>
      </c>
      <c r="G691" t="inlineStr">
        <is>
          <t>required</t>
        </is>
      </c>
      <c r="H691" t="inlineStr">
        <is>
          <t>true</t>
        </is>
      </c>
      <c r="I691" t="inlineStr">
        <is>
          <t>778</t>
        </is>
      </c>
      <c r="J691" t="inlineStr">
        <is>
          <t>HL7 ValueSet expand (2026-06-09)</t>
        </is>
      </c>
      <c r="K691" t="inlineStr">
        <is>
          <t>false</t>
        </is>
      </c>
    </row>
    <row r="692">
      <c r="A692" t="inlineStr">
        <is>
          <t>Patient.race</t>
        </is>
      </c>
      <c r="B692" t="inlineStr">
        <is>
          <t>urn:oid:2.16.840.1.113883.6.238</t>
        </is>
      </c>
      <c r="C692" t="inlineStr">
        <is>
          <t>1861-4</t>
        </is>
      </c>
      <c r="D692" t="inlineStr">
        <is>
          <t>Inupiaq</t>
        </is>
      </c>
      <c r="E692" t="inlineStr">
        <is>
          <t>detailed</t>
        </is>
      </c>
      <c r="F692" t="inlineStr">
        <is>
          <t>primary</t>
        </is>
      </c>
      <c r="G692" t="inlineStr">
        <is>
          <t>required</t>
        </is>
      </c>
      <c r="H692" t="inlineStr">
        <is>
          <t>true</t>
        </is>
      </c>
      <c r="I692" t="inlineStr">
        <is>
          <t>779</t>
        </is>
      </c>
      <c r="J692" t="inlineStr">
        <is>
          <t>HL7 ValueSet expand (2026-06-09)</t>
        </is>
      </c>
      <c r="K692" t="inlineStr">
        <is>
          <t>false</t>
        </is>
      </c>
    </row>
    <row r="693">
      <c r="A693" t="inlineStr">
        <is>
          <t>Patient.race</t>
        </is>
      </c>
      <c r="B693" t="inlineStr">
        <is>
          <t>urn:oid:2.16.840.1.113883.6.238</t>
        </is>
      </c>
      <c r="C693" t="inlineStr">
        <is>
          <t>1862-2</t>
        </is>
      </c>
      <c r="D693" t="inlineStr">
        <is>
          <t>Kaktovik</t>
        </is>
      </c>
      <c r="E693" t="inlineStr">
        <is>
          <t>detailed</t>
        </is>
      </c>
      <c r="F693" t="inlineStr">
        <is>
          <t>primary</t>
        </is>
      </c>
      <c r="G693" t="inlineStr">
        <is>
          <t>required</t>
        </is>
      </c>
      <c r="H693" t="inlineStr">
        <is>
          <t>true</t>
        </is>
      </c>
      <c r="I693" t="inlineStr">
        <is>
          <t>780</t>
        </is>
      </c>
      <c r="J693" t="inlineStr">
        <is>
          <t>HL7 ValueSet expand (2026-06-09)</t>
        </is>
      </c>
      <c r="K693" t="inlineStr">
        <is>
          <t>false</t>
        </is>
      </c>
    </row>
    <row r="694">
      <c r="A694" t="inlineStr">
        <is>
          <t>Patient.race</t>
        </is>
      </c>
      <c r="B694" t="inlineStr">
        <is>
          <t>urn:oid:2.16.840.1.113883.6.238</t>
        </is>
      </c>
      <c r="C694" t="inlineStr">
        <is>
          <t>1863-0</t>
        </is>
      </c>
      <c r="D694" t="inlineStr">
        <is>
          <t>Kawerak</t>
        </is>
      </c>
      <c r="E694" t="inlineStr">
        <is>
          <t>detailed</t>
        </is>
      </c>
      <c r="F694" t="inlineStr">
        <is>
          <t>primary</t>
        </is>
      </c>
      <c r="G694" t="inlineStr">
        <is>
          <t>required</t>
        </is>
      </c>
      <c r="H694" t="inlineStr">
        <is>
          <t>true</t>
        </is>
      </c>
      <c r="I694" t="inlineStr">
        <is>
          <t>781</t>
        </is>
      </c>
      <c r="J694" t="inlineStr">
        <is>
          <t>HL7 ValueSet expand (2026-06-09)</t>
        </is>
      </c>
      <c r="K694" t="inlineStr">
        <is>
          <t>false</t>
        </is>
      </c>
    </row>
    <row r="695">
      <c r="A695" t="inlineStr">
        <is>
          <t>Patient.race</t>
        </is>
      </c>
      <c r="B695" t="inlineStr">
        <is>
          <t>urn:oid:2.16.840.1.113883.6.238</t>
        </is>
      </c>
      <c r="C695" t="inlineStr">
        <is>
          <t>1864-8</t>
        </is>
      </c>
      <c r="D695" t="inlineStr">
        <is>
          <t>Kiana</t>
        </is>
      </c>
      <c r="E695" t="inlineStr">
        <is>
          <t>detailed</t>
        </is>
      </c>
      <c r="F695" t="inlineStr">
        <is>
          <t>primary</t>
        </is>
      </c>
      <c r="G695" t="inlineStr">
        <is>
          <t>required</t>
        </is>
      </c>
      <c r="H695" t="inlineStr">
        <is>
          <t>true</t>
        </is>
      </c>
      <c r="I695" t="inlineStr">
        <is>
          <t>782</t>
        </is>
      </c>
      <c r="J695" t="inlineStr">
        <is>
          <t>HL7 ValueSet expand (2026-06-09)</t>
        </is>
      </c>
      <c r="K695" t="inlineStr">
        <is>
          <t>false</t>
        </is>
      </c>
    </row>
    <row r="696">
      <c r="A696" t="inlineStr">
        <is>
          <t>Patient.race</t>
        </is>
      </c>
      <c r="B696" t="inlineStr">
        <is>
          <t>urn:oid:2.16.840.1.113883.6.238</t>
        </is>
      </c>
      <c r="C696" t="inlineStr">
        <is>
          <t>1865-5</t>
        </is>
      </c>
      <c r="D696" t="inlineStr">
        <is>
          <t>Kivalina</t>
        </is>
      </c>
      <c r="E696" t="inlineStr">
        <is>
          <t>detailed</t>
        </is>
      </c>
      <c r="F696" t="inlineStr">
        <is>
          <t>primary</t>
        </is>
      </c>
      <c r="G696" t="inlineStr">
        <is>
          <t>required</t>
        </is>
      </c>
      <c r="H696" t="inlineStr">
        <is>
          <t>true</t>
        </is>
      </c>
      <c r="I696" t="inlineStr">
        <is>
          <t>783</t>
        </is>
      </c>
      <c r="J696" t="inlineStr">
        <is>
          <t>HL7 ValueSet expand (2026-06-09)</t>
        </is>
      </c>
      <c r="K696" t="inlineStr">
        <is>
          <t>false</t>
        </is>
      </c>
    </row>
    <row r="697">
      <c r="A697" t="inlineStr">
        <is>
          <t>Patient.race</t>
        </is>
      </c>
      <c r="B697" t="inlineStr">
        <is>
          <t>urn:oid:2.16.840.1.113883.6.238</t>
        </is>
      </c>
      <c r="C697" t="inlineStr">
        <is>
          <t>1866-3</t>
        </is>
      </c>
      <c r="D697" t="inlineStr">
        <is>
          <t>Kobuk</t>
        </is>
      </c>
      <c r="E697" t="inlineStr">
        <is>
          <t>detailed</t>
        </is>
      </c>
      <c r="F697" t="inlineStr">
        <is>
          <t>primary</t>
        </is>
      </c>
      <c r="G697" t="inlineStr">
        <is>
          <t>required</t>
        </is>
      </c>
      <c r="H697" t="inlineStr">
        <is>
          <t>true</t>
        </is>
      </c>
      <c r="I697" t="inlineStr">
        <is>
          <t>784</t>
        </is>
      </c>
      <c r="J697" t="inlineStr">
        <is>
          <t>HL7 ValueSet expand (2026-06-09)</t>
        </is>
      </c>
      <c r="K697" t="inlineStr">
        <is>
          <t>false</t>
        </is>
      </c>
    </row>
    <row r="698">
      <c r="A698" t="inlineStr">
        <is>
          <t>Patient.race</t>
        </is>
      </c>
      <c r="B698" t="inlineStr">
        <is>
          <t>urn:oid:2.16.840.1.113883.6.238</t>
        </is>
      </c>
      <c r="C698" t="inlineStr">
        <is>
          <t>1867-1</t>
        </is>
      </c>
      <c r="D698" t="inlineStr">
        <is>
          <t>Kotzebue</t>
        </is>
      </c>
      <c r="E698" t="inlineStr">
        <is>
          <t>detailed</t>
        </is>
      </c>
      <c r="F698" t="inlineStr">
        <is>
          <t>primary</t>
        </is>
      </c>
      <c r="G698" t="inlineStr">
        <is>
          <t>required</t>
        </is>
      </c>
      <c r="H698" t="inlineStr">
        <is>
          <t>true</t>
        </is>
      </c>
      <c r="I698" t="inlineStr">
        <is>
          <t>785</t>
        </is>
      </c>
      <c r="J698" t="inlineStr">
        <is>
          <t>HL7 ValueSet expand (2026-06-09)</t>
        </is>
      </c>
      <c r="K698" t="inlineStr">
        <is>
          <t>false</t>
        </is>
      </c>
    </row>
    <row r="699">
      <c r="A699" t="inlineStr">
        <is>
          <t>Patient.race</t>
        </is>
      </c>
      <c r="B699" t="inlineStr">
        <is>
          <t>urn:oid:2.16.840.1.113883.6.238</t>
        </is>
      </c>
      <c r="C699" t="inlineStr">
        <is>
          <t>1868-9</t>
        </is>
      </c>
      <c r="D699" t="inlineStr">
        <is>
          <t>Koyuk</t>
        </is>
      </c>
      <c r="E699" t="inlineStr">
        <is>
          <t>detailed</t>
        </is>
      </c>
      <c r="F699" t="inlineStr">
        <is>
          <t>primary</t>
        </is>
      </c>
      <c r="G699" t="inlineStr">
        <is>
          <t>required</t>
        </is>
      </c>
      <c r="H699" t="inlineStr">
        <is>
          <t>true</t>
        </is>
      </c>
      <c r="I699" t="inlineStr">
        <is>
          <t>786</t>
        </is>
      </c>
      <c r="J699" t="inlineStr">
        <is>
          <t>HL7 ValueSet expand (2026-06-09)</t>
        </is>
      </c>
      <c r="K699" t="inlineStr">
        <is>
          <t>false</t>
        </is>
      </c>
    </row>
    <row r="700">
      <c r="A700" t="inlineStr">
        <is>
          <t>Patient.race</t>
        </is>
      </c>
      <c r="B700" t="inlineStr">
        <is>
          <t>urn:oid:2.16.840.1.113883.6.238</t>
        </is>
      </c>
      <c r="C700" t="inlineStr">
        <is>
          <t>1869-7</t>
        </is>
      </c>
      <c r="D700" t="inlineStr">
        <is>
          <t>Kwiguk</t>
        </is>
      </c>
      <c r="E700" t="inlineStr">
        <is>
          <t>detailed</t>
        </is>
      </c>
      <c r="F700" t="inlineStr">
        <is>
          <t>primary</t>
        </is>
      </c>
      <c r="G700" t="inlineStr">
        <is>
          <t>required</t>
        </is>
      </c>
      <c r="H700" t="inlineStr">
        <is>
          <t>true</t>
        </is>
      </c>
      <c r="I700" t="inlineStr">
        <is>
          <t>787</t>
        </is>
      </c>
      <c r="J700" t="inlineStr">
        <is>
          <t>HL7 ValueSet expand (2026-06-09)</t>
        </is>
      </c>
      <c r="K700" t="inlineStr">
        <is>
          <t>false</t>
        </is>
      </c>
    </row>
    <row r="701">
      <c r="A701" t="inlineStr">
        <is>
          <t>Patient.race</t>
        </is>
      </c>
      <c r="B701" t="inlineStr">
        <is>
          <t>urn:oid:2.16.840.1.113883.6.238</t>
        </is>
      </c>
      <c r="C701" t="inlineStr">
        <is>
          <t>1870-5</t>
        </is>
      </c>
      <c r="D701" t="inlineStr">
        <is>
          <t>Mauneluk Inupiat</t>
        </is>
      </c>
      <c r="E701" t="inlineStr">
        <is>
          <t>detailed</t>
        </is>
      </c>
      <c r="F701" t="inlineStr">
        <is>
          <t>primary</t>
        </is>
      </c>
      <c r="G701" t="inlineStr">
        <is>
          <t>required</t>
        </is>
      </c>
      <c r="H701" t="inlineStr">
        <is>
          <t>true</t>
        </is>
      </c>
      <c r="I701" t="inlineStr">
        <is>
          <t>788</t>
        </is>
      </c>
      <c r="J701" t="inlineStr">
        <is>
          <t>HL7 ValueSet expand (2026-06-09)</t>
        </is>
      </c>
      <c r="K701" t="inlineStr">
        <is>
          <t>false</t>
        </is>
      </c>
    </row>
    <row r="702">
      <c r="A702" t="inlineStr">
        <is>
          <t>Patient.race</t>
        </is>
      </c>
      <c r="B702" t="inlineStr">
        <is>
          <t>urn:oid:2.16.840.1.113883.6.238</t>
        </is>
      </c>
      <c r="C702" t="inlineStr">
        <is>
          <t>1871-3</t>
        </is>
      </c>
      <c r="D702" t="inlineStr">
        <is>
          <t>Nana Inupiat</t>
        </is>
      </c>
      <c r="E702" t="inlineStr">
        <is>
          <t>detailed</t>
        </is>
      </c>
      <c r="F702" t="inlineStr">
        <is>
          <t>primary</t>
        </is>
      </c>
      <c r="G702" t="inlineStr">
        <is>
          <t>required</t>
        </is>
      </c>
      <c r="H702" t="inlineStr">
        <is>
          <t>true</t>
        </is>
      </c>
      <c r="I702" t="inlineStr">
        <is>
          <t>789</t>
        </is>
      </c>
      <c r="J702" t="inlineStr">
        <is>
          <t>HL7 ValueSet expand (2026-06-09)</t>
        </is>
      </c>
      <c r="K702" t="inlineStr">
        <is>
          <t>false</t>
        </is>
      </c>
    </row>
    <row r="703">
      <c r="A703" t="inlineStr">
        <is>
          <t>Patient.race</t>
        </is>
      </c>
      <c r="B703" t="inlineStr">
        <is>
          <t>urn:oid:2.16.840.1.113883.6.238</t>
        </is>
      </c>
      <c r="C703" t="inlineStr">
        <is>
          <t>1872-1</t>
        </is>
      </c>
      <c r="D703" t="inlineStr">
        <is>
          <t>Noatak</t>
        </is>
      </c>
      <c r="E703" t="inlineStr">
        <is>
          <t>detailed</t>
        </is>
      </c>
      <c r="F703" t="inlineStr">
        <is>
          <t>primary</t>
        </is>
      </c>
      <c r="G703" t="inlineStr">
        <is>
          <t>required</t>
        </is>
      </c>
      <c r="H703" t="inlineStr">
        <is>
          <t>true</t>
        </is>
      </c>
      <c r="I703" t="inlineStr">
        <is>
          <t>790</t>
        </is>
      </c>
      <c r="J703" t="inlineStr">
        <is>
          <t>HL7 ValueSet expand (2026-06-09)</t>
        </is>
      </c>
      <c r="K703" t="inlineStr">
        <is>
          <t>false</t>
        </is>
      </c>
    </row>
    <row r="704">
      <c r="A704" t="inlineStr">
        <is>
          <t>Patient.race</t>
        </is>
      </c>
      <c r="B704" t="inlineStr">
        <is>
          <t>urn:oid:2.16.840.1.113883.6.238</t>
        </is>
      </c>
      <c r="C704" t="inlineStr">
        <is>
          <t>1873-9</t>
        </is>
      </c>
      <c r="D704" t="inlineStr">
        <is>
          <t>Nome</t>
        </is>
      </c>
      <c r="E704" t="inlineStr">
        <is>
          <t>detailed</t>
        </is>
      </c>
      <c r="F704" t="inlineStr">
        <is>
          <t>primary</t>
        </is>
      </c>
      <c r="G704" t="inlineStr">
        <is>
          <t>required</t>
        </is>
      </c>
      <c r="H704" t="inlineStr">
        <is>
          <t>true</t>
        </is>
      </c>
      <c r="I704" t="inlineStr">
        <is>
          <t>791</t>
        </is>
      </c>
      <c r="J704" t="inlineStr">
        <is>
          <t>HL7 ValueSet expand (2026-06-09)</t>
        </is>
      </c>
      <c r="K704" t="inlineStr">
        <is>
          <t>false</t>
        </is>
      </c>
    </row>
    <row r="705">
      <c r="A705" t="inlineStr">
        <is>
          <t>Patient.race</t>
        </is>
      </c>
      <c r="B705" t="inlineStr">
        <is>
          <t>urn:oid:2.16.840.1.113883.6.238</t>
        </is>
      </c>
      <c r="C705" t="inlineStr">
        <is>
          <t>1874-7</t>
        </is>
      </c>
      <c r="D705" t="inlineStr">
        <is>
          <t>Noorvik</t>
        </is>
      </c>
      <c r="E705" t="inlineStr">
        <is>
          <t>detailed</t>
        </is>
      </c>
      <c r="F705" t="inlineStr">
        <is>
          <t>primary</t>
        </is>
      </c>
      <c r="G705" t="inlineStr">
        <is>
          <t>required</t>
        </is>
      </c>
      <c r="H705" t="inlineStr">
        <is>
          <t>true</t>
        </is>
      </c>
      <c r="I705" t="inlineStr">
        <is>
          <t>792</t>
        </is>
      </c>
      <c r="J705" t="inlineStr">
        <is>
          <t>HL7 ValueSet expand (2026-06-09)</t>
        </is>
      </c>
      <c r="K705" t="inlineStr">
        <is>
          <t>false</t>
        </is>
      </c>
    </row>
    <row r="706">
      <c r="A706" t="inlineStr">
        <is>
          <t>Patient.race</t>
        </is>
      </c>
      <c r="B706" t="inlineStr">
        <is>
          <t>urn:oid:2.16.840.1.113883.6.238</t>
        </is>
      </c>
      <c r="C706" t="inlineStr">
        <is>
          <t>1875-4</t>
        </is>
      </c>
      <c r="D706" t="inlineStr">
        <is>
          <t>Nuiqsut</t>
        </is>
      </c>
      <c r="E706" t="inlineStr">
        <is>
          <t>detailed</t>
        </is>
      </c>
      <c r="F706" t="inlineStr">
        <is>
          <t>primary</t>
        </is>
      </c>
      <c r="G706" t="inlineStr">
        <is>
          <t>required</t>
        </is>
      </c>
      <c r="H706" t="inlineStr">
        <is>
          <t>true</t>
        </is>
      </c>
      <c r="I706" t="inlineStr">
        <is>
          <t>793</t>
        </is>
      </c>
      <c r="J706" t="inlineStr">
        <is>
          <t>HL7 ValueSet expand (2026-06-09)</t>
        </is>
      </c>
      <c r="K706" t="inlineStr">
        <is>
          <t>false</t>
        </is>
      </c>
    </row>
    <row r="707">
      <c r="A707" t="inlineStr">
        <is>
          <t>Patient.race</t>
        </is>
      </c>
      <c r="B707" t="inlineStr">
        <is>
          <t>urn:oid:2.16.840.1.113883.6.238</t>
        </is>
      </c>
      <c r="C707" t="inlineStr">
        <is>
          <t>1876-2</t>
        </is>
      </c>
      <c r="D707" t="inlineStr">
        <is>
          <t>Point Hope</t>
        </is>
      </c>
      <c r="E707" t="inlineStr">
        <is>
          <t>detailed</t>
        </is>
      </c>
      <c r="F707" t="inlineStr">
        <is>
          <t>primary</t>
        </is>
      </c>
      <c r="G707" t="inlineStr">
        <is>
          <t>required</t>
        </is>
      </c>
      <c r="H707" t="inlineStr">
        <is>
          <t>true</t>
        </is>
      </c>
      <c r="I707" t="inlineStr">
        <is>
          <t>794</t>
        </is>
      </c>
      <c r="J707" t="inlineStr">
        <is>
          <t>HL7 ValueSet expand (2026-06-09)</t>
        </is>
      </c>
      <c r="K707" t="inlineStr">
        <is>
          <t>false</t>
        </is>
      </c>
    </row>
    <row r="708">
      <c r="A708" t="inlineStr">
        <is>
          <t>Patient.race</t>
        </is>
      </c>
      <c r="B708" t="inlineStr">
        <is>
          <t>urn:oid:2.16.840.1.113883.6.238</t>
        </is>
      </c>
      <c r="C708" t="inlineStr">
        <is>
          <t>1877-0</t>
        </is>
      </c>
      <c r="D708" t="inlineStr">
        <is>
          <t>Point Lay</t>
        </is>
      </c>
      <c r="E708" t="inlineStr">
        <is>
          <t>detailed</t>
        </is>
      </c>
      <c r="F708" t="inlineStr">
        <is>
          <t>primary</t>
        </is>
      </c>
      <c r="G708" t="inlineStr">
        <is>
          <t>required</t>
        </is>
      </c>
      <c r="H708" t="inlineStr">
        <is>
          <t>true</t>
        </is>
      </c>
      <c r="I708" t="inlineStr">
        <is>
          <t>795</t>
        </is>
      </c>
      <c r="J708" t="inlineStr">
        <is>
          <t>HL7 ValueSet expand (2026-06-09)</t>
        </is>
      </c>
      <c r="K708" t="inlineStr">
        <is>
          <t>false</t>
        </is>
      </c>
    </row>
    <row r="709">
      <c r="A709" t="inlineStr">
        <is>
          <t>Patient.race</t>
        </is>
      </c>
      <c r="B709" t="inlineStr">
        <is>
          <t>urn:oid:2.16.840.1.113883.6.238</t>
        </is>
      </c>
      <c r="C709" t="inlineStr">
        <is>
          <t>1878-8</t>
        </is>
      </c>
      <c r="D709" t="inlineStr">
        <is>
          <t>Selawik</t>
        </is>
      </c>
      <c r="E709" t="inlineStr">
        <is>
          <t>detailed</t>
        </is>
      </c>
      <c r="F709" t="inlineStr">
        <is>
          <t>primary</t>
        </is>
      </c>
      <c r="G709" t="inlineStr">
        <is>
          <t>required</t>
        </is>
      </c>
      <c r="H709" t="inlineStr">
        <is>
          <t>true</t>
        </is>
      </c>
      <c r="I709" t="inlineStr">
        <is>
          <t>796</t>
        </is>
      </c>
      <c r="J709" t="inlineStr">
        <is>
          <t>HL7 ValueSet expand (2026-06-09)</t>
        </is>
      </c>
      <c r="K709" t="inlineStr">
        <is>
          <t>false</t>
        </is>
      </c>
    </row>
    <row r="710">
      <c r="A710" t="inlineStr">
        <is>
          <t>Patient.race</t>
        </is>
      </c>
      <c r="B710" t="inlineStr">
        <is>
          <t>urn:oid:2.16.840.1.113883.6.238</t>
        </is>
      </c>
      <c r="C710" t="inlineStr">
        <is>
          <t>1879-6</t>
        </is>
      </c>
      <c r="D710" t="inlineStr">
        <is>
          <t>Shaktoolik</t>
        </is>
      </c>
      <c r="E710" t="inlineStr">
        <is>
          <t>detailed</t>
        </is>
      </c>
      <c r="F710" t="inlineStr">
        <is>
          <t>primary</t>
        </is>
      </c>
      <c r="G710" t="inlineStr">
        <is>
          <t>required</t>
        </is>
      </c>
      <c r="H710" t="inlineStr">
        <is>
          <t>true</t>
        </is>
      </c>
      <c r="I710" t="inlineStr">
        <is>
          <t>797</t>
        </is>
      </c>
      <c r="J710" t="inlineStr">
        <is>
          <t>HL7 ValueSet expand (2026-06-09)</t>
        </is>
      </c>
      <c r="K710" t="inlineStr">
        <is>
          <t>false</t>
        </is>
      </c>
    </row>
    <row r="711">
      <c r="A711" t="inlineStr">
        <is>
          <t>Patient.race</t>
        </is>
      </c>
      <c r="B711" t="inlineStr">
        <is>
          <t>urn:oid:2.16.840.1.113883.6.238</t>
        </is>
      </c>
      <c r="C711" t="inlineStr">
        <is>
          <t>1880-4</t>
        </is>
      </c>
      <c r="D711" t="inlineStr">
        <is>
          <t>Shishmaref</t>
        </is>
      </c>
      <c r="E711" t="inlineStr">
        <is>
          <t>detailed</t>
        </is>
      </c>
      <c r="F711" t="inlineStr">
        <is>
          <t>primary</t>
        </is>
      </c>
      <c r="G711" t="inlineStr">
        <is>
          <t>required</t>
        </is>
      </c>
      <c r="H711" t="inlineStr">
        <is>
          <t>true</t>
        </is>
      </c>
      <c r="I711" t="inlineStr">
        <is>
          <t>798</t>
        </is>
      </c>
      <c r="J711" t="inlineStr">
        <is>
          <t>HL7 ValueSet expand (2026-06-09)</t>
        </is>
      </c>
      <c r="K711" t="inlineStr">
        <is>
          <t>false</t>
        </is>
      </c>
    </row>
    <row r="712">
      <c r="A712" t="inlineStr">
        <is>
          <t>Patient.race</t>
        </is>
      </c>
      <c r="B712" t="inlineStr">
        <is>
          <t>urn:oid:2.16.840.1.113883.6.238</t>
        </is>
      </c>
      <c r="C712" t="inlineStr">
        <is>
          <t>1881-2</t>
        </is>
      </c>
      <c r="D712" t="inlineStr">
        <is>
          <t>Shungnak</t>
        </is>
      </c>
      <c r="E712" t="inlineStr">
        <is>
          <t>detailed</t>
        </is>
      </c>
      <c r="F712" t="inlineStr">
        <is>
          <t>primary</t>
        </is>
      </c>
      <c r="G712" t="inlineStr">
        <is>
          <t>required</t>
        </is>
      </c>
      <c r="H712" t="inlineStr">
        <is>
          <t>true</t>
        </is>
      </c>
      <c r="I712" t="inlineStr">
        <is>
          <t>799</t>
        </is>
      </c>
      <c r="J712" t="inlineStr">
        <is>
          <t>HL7 ValueSet expand (2026-06-09)</t>
        </is>
      </c>
      <c r="K712" t="inlineStr">
        <is>
          <t>false</t>
        </is>
      </c>
    </row>
    <row r="713">
      <c r="A713" t="inlineStr">
        <is>
          <t>Patient.race</t>
        </is>
      </c>
      <c r="B713" t="inlineStr">
        <is>
          <t>urn:oid:2.16.840.1.113883.6.238</t>
        </is>
      </c>
      <c r="C713" t="inlineStr">
        <is>
          <t>1882-0</t>
        </is>
      </c>
      <c r="D713" t="inlineStr">
        <is>
          <t>Solomon</t>
        </is>
      </c>
      <c r="E713" t="inlineStr">
        <is>
          <t>detailed</t>
        </is>
      </c>
      <c r="F713" t="inlineStr">
        <is>
          <t>primary</t>
        </is>
      </c>
      <c r="G713" t="inlineStr">
        <is>
          <t>required</t>
        </is>
      </c>
      <c r="H713" t="inlineStr">
        <is>
          <t>true</t>
        </is>
      </c>
      <c r="I713" t="inlineStr">
        <is>
          <t>800</t>
        </is>
      </c>
      <c r="J713" t="inlineStr">
        <is>
          <t>HL7 ValueSet expand (2026-06-09)</t>
        </is>
      </c>
      <c r="K713" t="inlineStr">
        <is>
          <t>false</t>
        </is>
      </c>
    </row>
    <row r="714">
      <c r="A714" t="inlineStr">
        <is>
          <t>Patient.race</t>
        </is>
      </c>
      <c r="B714" t="inlineStr">
        <is>
          <t>urn:oid:2.16.840.1.113883.6.238</t>
        </is>
      </c>
      <c r="C714" t="inlineStr">
        <is>
          <t>1883-8</t>
        </is>
      </c>
      <c r="D714" t="inlineStr">
        <is>
          <t>Teller</t>
        </is>
      </c>
      <c r="E714" t="inlineStr">
        <is>
          <t>detailed</t>
        </is>
      </c>
      <c r="F714" t="inlineStr">
        <is>
          <t>primary</t>
        </is>
      </c>
      <c r="G714" t="inlineStr">
        <is>
          <t>required</t>
        </is>
      </c>
      <c r="H714" t="inlineStr">
        <is>
          <t>true</t>
        </is>
      </c>
      <c r="I714" t="inlineStr">
        <is>
          <t>801</t>
        </is>
      </c>
      <c r="J714" t="inlineStr">
        <is>
          <t>HL7 ValueSet expand (2026-06-09)</t>
        </is>
      </c>
      <c r="K714" t="inlineStr">
        <is>
          <t>false</t>
        </is>
      </c>
    </row>
    <row r="715">
      <c r="A715" t="inlineStr">
        <is>
          <t>Patient.race</t>
        </is>
      </c>
      <c r="B715" t="inlineStr">
        <is>
          <t>urn:oid:2.16.840.1.113883.6.238</t>
        </is>
      </c>
      <c r="C715" t="inlineStr">
        <is>
          <t>1884-6</t>
        </is>
      </c>
      <c r="D715" t="inlineStr">
        <is>
          <t>Unalakleet</t>
        </is>
      </c>
      <c r="E715" t="inlineStr">
        <is>
          <t>detailed</t>
        </is>
      </c>
      <c r="F715" t="inlineStr">
        <is>
          <t>primary</t>
        </is>
      </c>
      <c r="G715" t="inlineStr">
        <is>
          <t>required</t>
        </is>
      </c>
      <c r="H715" t="inlineStr">
        <is>
          <t>true</t>
        </is>
      </c>
      <c r="I715" t="inlineStr">
        <is>
          <t>802</t>
        </is>
      </c>
      <c r="J715" t="inlineStr">
        <is>
          <t>HL7 ValueSet expand (2026-06-09)</t>
        </is>
      </c>
      <c r="K715" t="inlineStr">
        <is>
          <t>false</t>
        </is>
      </c>
    </row>
    <row r="716">
      <c r="A716" t="inlineStr">
        <is>
          <t>Patient.race</t>
        </is>
      </c>
      <c r="B716" t="inlineStr">
        <is>
          <t>urn:oid:2.16.840.1.113883.6.238</t>
        </is>
      </c>
      <c r="C716" t="inlineStr">
        <is>
          <t>1885-3</t>
        </is>
      </c>
      <c r="D716" t="inlineStr">
        <is>
          <t>Wainwright</t>
        </is>
      </c>
      <c r="E716" t="inlineStr">
        <is>
          <t>detailed</t>
        </is>
      </c>
      <c r="F716" t="inlineStr">
        <is>
          <t>primary</t>
        </is>
      </c>
      <c r="G716" t="inlineStr">
        <is>
          <t>required</t>
        </is>
      </c>
      <c r="H716" t="inlineStr">
        <is>
          <t>true</t>
        </is>
      </c>
      <c r="I716" t="inlineStr">
        <is>
          <t>803</t>
        </is>
      </c>
      <c r="J716" t="inlineStr">
        <is>
          <t>HL7 ValueSet expand (2026-06-09)</t>
        </is>
      </c>
      <c r="K716" t="inlineStr">
        <is>
          <t>false</t>
        </is>
      </c>
    </row>
    <row r="717">
      <c r="A717" t="inlineStr">
        <is>
          <t>Patient.race</t>
        </is>
      </c>
      <c r="B717" t="inlineStr">
        <is>
          <t>urn:oid:2.16.840.1.113883.6.238</t>
        </is>
      </c>
      <c r="C717" t="inlineStr">
        <is>
          <t>1886-1</t>
        </is>
      </c>
      <c r="D717" t="inlineStr">
        <is>
          <t>Wales</t>
        </is>
      </c>
      <c r="E717" t="inlineStr">
        <is>
          <t>detailed</t>
        </is>
      </c>
      <c r="F717" t="inlineStr">
        <is>
          <t>primary</t>
        </is>
      </c>
      <c r="G717" t="inlineStr">
        <is>
          <t>required</t>
        </is>
      </c>
      <c r="H717" t="inlineStr">
        <is>
          <t>true</t>
        </is>
      </c>
      <c r="I717" t="inlineStr">
        <is>
          <t>804</t>
        </is>
      </c>
      <c r="J717" t="inlineStr">
        <is>
          <t>HL7 ValueSet expand (2026-06-09)</t>
        </is>
      </c>
      <c r="K717" t="inlineStr">
        <is>
          <t>false</t>
        </is>
      </c>
    </row>
    <row r="718">
      <c r="A718" t="inlineStr">
        <is>
          <t>Patient.race</t>
        </is>
      </c>
      <c r="B718" t="inlineStr">
        <is>
          <t>urn:oid:2.16.840.1.113883.6.238</t>
        </is>
      </c>
      <c r="C718" t="inlineStr">
        <is>
          <t>1887-9</t>
        </is>
      </c>
      <c r="D718" t="inlineStr">
        <is>
          <t>White Mountain</t>
        </is>
      </c>
      <c r="E718" t="inlineStr">
        <is>
          <t>detailed</t>
        </is>
      </c>
      <c r="F718" t="inlineStr">
        <is>
          <t>primary</t>
        </is>
      </c>
      <c r="G718" t="inlineStr">
        <is>
          <t>required</t>
        </is>
      </c>
      <c r="H718" t="inlineStr">
        <is>
          <t>true</t>
        </is>
      </c>
      <c r="I718" t="inlineStr">
        <is>
          <t>805</t>
        </is>
      </c>
      <c r="J718" t="inlineStr">
        <is>
          <t>HL7 ValueSet expand (2026-06-09)</t>
        </is>
      </c>
      <c r="K718" t="inlineStr">
        <is>
          <t>false</t>
        </is>
      </c>
    </row>
    <row r="719">
      <c r="A719" t="inlineStr">
        <is>
          <t>Patient.race</t>
        </is>
      </c>
      <c r="B719" t="inlineStr">
        <is>
          <t>urn:oid:2.16.840.1.113883.6.238</t>
        </is>
      </c>
      <c r="C719" t="inlineStr">
        <is>
          <t>1888-7</t>
        </is>
      </c>
      <c r="D719" t="inlineStr">
        <is>
          <t>White Mountain Inupiat</t>
        </is>
      </c>
      <c r="E719" t="inlineStr">
        <is>
          <t>detailed</t>
        </is>
      </c>
      <c r="F719" t="inlineStr">
        <is>
          <t>primary</t>
        </is>
      </c>
      <c r="G719" t="inlineStr">
        <is>
          <t>required</t>
        </is>
      </c>
      <c r="H719" t="inlineStr">
        <is>
          <t>true</t>
        </is>
      </c>
      <c r="I719" t="inlineStr">
        <is>
          <t>806</t>
        </is>
      </c>
      <c r="J719" t="inlineStr">
        <is>
          <t>HL7 ValueSet expand (2026-06-09)</t>
        </is>
      </c>
      <c r="K719" t="inlineStr">
        <is>
          <t>false</t>
        </is>
      </c>
    </row>
    <row r="720">
      <c r="A720" t="inlineStr">
        <is>
          <t>Patient.race</t>
        </is>
      </c>
      <c r="B720" t="inlineStr">
        <is>
          <t>urn:oid:2.16.840.1.113883.6.238</t>
        </is>
      </c>
      <c r="C720" t="inlineStr">
        <is>
          <t>1889-5</t>
        </is>
      </c>
      <c r="D720" t="inlineStr">
        <is>
          <t>Mary's Igloo</t>
        </is>
      </c>
      <c r="E720" t="inlineStr">
        <is>
          <t>detailed</t>
        </is>
      </c>
      <c r="F720" t="inlineStr">
        <is>
          <t>primary</t>
        </is>
      </c>
      <c r="G720" t="inlineStr">
        <is>
          <t>required</t>
        </is>
      </c>
      <c r="H720" t="inlineStr">
        <is>
          <t>true</t>
        </is>
      </c>
      <c r="I720" t="inlineStr">
        <is>
          <t>807</t>
        </is>
      </c>
      <c r="J720" t="inlineStr">
        <is>
          <t>HL7 ValueSet expand (2026-06-09)</t>
        </is>
      </c>
      <c r="K720" t="inlineStr">
        <is>
          <t>false</t>
        </is>
      </c>
    </row>
    <row r="721">
      <c r="A721" t="inlineStr">
        <is>
          <t>Patient.race</t>
        </is>
      </c>
      <c r="B721" t="inlineStr">
        <is>
          <t>urn:oid:2.16.840.1.113883.6.238</t>
        </is>
      </c>
      <c r="C721" t="inlineStr">
        <is>
          <t>1891-1</t>
        </is>
      </c>
      <c r="D721" t="inlineStr">
        <is>
          <t>Siberian Eskimo</t>
        </is>
      </c>
      <c r="E721" t="inlineStr">
        <is>
          <t>detailed</t>
        </is>
      </c>
      <c r="F721" t="inlineStr">
        <is>
          <t>primary</t>
        </is>
      </c>
      <c r="G721" t="inlineStr">
        <is>
          <t>required</t>
        </is>
      </c>
      <c r="H721" t="inlineStr">
        <is>
          <t>true</t>
        </is>
      </c>
      <c r="I721" t="inlineStr">
        <is>
          <t>808</t>
        </is>
      </c>
      <c r="J721" t="inlineStr">
        <is>
          <t>HL7 ValueSet expand (2026-06-09)</t>
        </is>
      </c>
      <c r="K721" t="inlineStr">
        <is>
          <t>false</t>
        </is>
      </c>
    </row>
    <row r="722">
      <c r="A722" t="inlineStr">
        <is>
          <t>Patient.race</t>
        </is>
      </c>
      <c r="B722" t="inlineStr">
        <is>
          <t>urn:oid:2.16.840.1.113883.6.238</t>
        </is>
      </c>
      <c r="C722" t="inlineStr">
        <is>
          <t>1892-9</t>
        </is>
      </c>
      <c r="D722" t="inlineStr">
        <is>
          <t>Gambell</t>
        </is>
      </c>
      <c r="E722" t="inlineStr">
        <is>
          <t>detailed</t>
        </is>
      </c>
      <c r="F722" t="inlineStr">
        <is>
          <t>primary</t>
        </is>
      </c>
      <c r="G722" t="inlineStr">
        <is>
          <t>required</t>
        </is>
      </c>
      <c r="H722" t="inlineStr">
        <is>
          <t>true</t>
        </is>
      </c>
      <c r="I722" t="inlineStr">
        <is>
          <t>809</t>
        </is>
      </c>
      <c r="J722" t="inlineStr">
        <is>
          <t>HL7 ValueSet expand (2026-06-09)</t>
        </is>
      </c>
      <c r="K722" t="inlineStr">
        <is>
          <t>false</t>
        </is>
      </c>
    </row>
    <row r="723">
      <c r="A723" t="inlineStr">
        <is>
          <t>Patient.race</t>
        </is>
      </c>
      <c r="B723" t="inlineStr">
        <is>
          <t>urn:oid:2.16.840.1.113883.6.238</t>
        </is>
      </c>
      <c r="C723" t="inlineStr">
        <is>
          <t>1893-7</t>
        </is>
      </c>
      <c r="D723" t="inlineStr">
        <is>
          <t>Savoonga</t>
        </is>
      </c>
      <c r="E723" t="inlineStr">
        <is>
          <t>detailed</t>
        </is>
      </c>
      <c r="F723" t="inlineStr">
        <is>
          <t>primary</t>
        </is>
      </c>
      <c r="G723" t="inlineStr">
        <is>
          <t>required</t>
        </is>
      </c>
      <c r="H723" t="inlineStr">
        <is>
          <t>true</t>
        </is>
      </c>
      <c r="I723" t="inlineStr">
        <is>
          <t>810</t>
        </is>
      </c>
      <c r="J723" t="inlineStr">
        <is>
          <t>HL7 ValueSet expand (2026-06-09)</t>
        </is>
      </c>
      <c r="K723" t="inlineStr">
        <is>
          <t>false</t>
        </is>
      </c>
    </row>
    <row r="724">
      <c r="A724" t="inlineStr">
        <is>
          <t>Patient.race</t>
        </is>
      </c>
      <c r="B724" t="inlineStr">
        <is>
          <t>urn:oid:2.16.840.1.113883.6.238</t>
        </is>
      </c>
      <c r="C724" t="inlineStr">
        <is>
          <t>1894-5</t>
        </is>
      </c>
      <c r="D724" t="inlineStr">
        <is>
          <t>Siberian Yupik</t>
        </is>
      </c>
      <c r="E724" t="inlineStr">
        <is>
          <t>detailed</t>
        </is>
      </c>
      <c r="F724" t="inlineStr">
        <is>
          <t>primary</t>
        </is>
      </c>
      <c r="G724" t="inlineStr">
        <is>
          <t>required</t>
        </is>
      </c>
      <c r="H724" t="inlineStr">
        <is>
          <t>true</t>
        </is>
      </c>
      <c r="I724" t="inlineStr">
        <is>
          <t>811</t>
        </is>
      </c>
      <c r="J724" t="inlineStr">
        <is>
          <t>HL7 ValueSet expand (2026-06-09)</t>
        </is>
      </c>
      <c r="K724" t="inlineStr">
        <is>
          <t>false</t>
        </is>
      </c>
    </row>
    <row r="725">
      <c r="A725" t="inlineStr">
        <is>
          <t>Patient.race</t>
        </is>
      </c>
      <c r="B725" t="inlineStr">
        <is>
          <t>urn:oid:2.16.840.1.113883.6.238</t>
        </is>
      </c>
      <c r="C725" t="inlineStr">
        <is>
          <t>1896-0</t>
        </is>
      </c>
      <c r="D725" t="inlineStr">
        <is>
          <t>Yupik Eskimo</t>
        </is>
      </c>
      <c r="E725" t="inlineStr">
        <is>
          <t>detailed</t>
        </is>
      </c>
      <c r="F725" t="inlineStr">
        <is>
          <t>primary</t>
        </is>
      </c>
      <c r="G725" t="inlineStr">
        <is>
          <t>required</t>
        </is>
      </c>
      <c r="H725" t="inlineStr">
        <is>
          <t>true</t>
        </is>
      </c>
      <c r="I725" t="inlineStr">
        <is>
          <t>812</t>
        </is>
      </c>
      <c r="J725" t="inlineStr">
        <is>
          <t>HL7 ValueSet expand (2026-06-09)</t>
        </is>
      </c>
      <c r="K725" t="inlineStr">
        <is>
          <t>false</t>
        </is>
      </c>
    </row>
    <row r="726">
      <c r="A726" t="inlineStr">
        <is>
          <t>Patient.race</t>
        </is>
      </c>
      <c r="B726" t="inlineStr">
        <is>
          <t>urn:oid:2.16.840.1.113883.6.238</t>
        </is>
      </c>
      <c r="C726" t="inlineStr">
        <is>
          <t>1897-8</t>
        </is>
      </c>
      <c r="D726" t="inlineStr">
        <is>
          <t>Akiachak</t>
        </is>
      </c>
      <c r="E726" t="inlineStr">
        <is>
          <t>detailed</t>
        </is>
      </c>
      <c r="F726" t="inlineStr">
        <is>
          <t>primary</t>
        </is>
      </c>
      <c r="G726" t="inlineStr">
        <is>
          <t>required</t>
        </is>
      </c>
      <c r="H726" t="inlineStr">
        <is>
          <t>true</t>
        </is>
      </c>
      <c r="I726" t="inlineStr">
        <is>
          <t>813</t>
        </is>
      </c>
      <c r="J726" t="inlineStr">
        <is>
          <t>HL7 ValueSet expand (2026-06-09)</t>
        </is>
      </c>
      <c r="K726" t="inlineStr">
        <is>
          <t>false</t>
        </is>
      </c>
    </row>
    <row r="727">
      <c r="A727" t="inlineStr">
        <is>
          <t>Patient.race</t>
        </is>
      </c>
      <c r="B727" t="inlineStr">
        <is>
          <t>urn:oid:2.16.840.1.113883.6.238</t>
        </is>
      </c>
      <c r="C727" t="inlineStr">
        <is>
          <t>1898-6</t>
        </is>
      </c>
      <c r="D727" t="inlineStr">
        <is>
          <t>Akiak</t>
        </is>
      </c>
      <c r="E727" t="inlineStr">
        <is>
          <t>detailed</t>
        </is>
      </c>
      <c r="F727" t="inlineStr">
        <is>
          <t>primary</t>
        </is>
      </c>
      <c r="G727" t="inlineStr">
        <is>
          <t>required</t>
        </is>
      </c>
      <c r="H727" t="inlineStr">
        <is>
          <t>true</t>
        </is>
      </c>
      <c r="I727" t="inlineStr">
        <is>
          <t>814</t>
        </is>
      </c>
      <c r="J727" t="inlineStr">
        <is>
          <t>HL7 ValueSet expand (2026-06-09)</t>
        </is>
      </c>
      <c r="K727" t="inlineStr">
        <is>
          <t>false</t>
        </is>
      </c>
    </row>
    <row r="728">
      <c r="A728" t="inlineStr">
        <is>
          <t>Patient.race</t>
        </is>
      </c>
      <c r="B728" t="inlineStr">
        <is>
          <t>urn:oid:2.16.840.1.113883.6.238</t>
        </is>
      </c>
      <c r="C728" t="inlineStr">
        <is>
          <t>1899-4</t>
        </is>
      </c>
      <c r="D728" t="inlineStr">
        <is>
          <t>Alakanuk</t>
        </is>
      </c>
      <c r="E728" t="inlineStr">
        <is>
          <t>detailed</t>
        </is>
      </c>
      <c r="F728" t="inlineStr">
        <is>
          <t>primary</t>
        </is>
      </c>
      <c r="G728" t="inlineStr">
        <is>
          <t>required</t>
        </is>
      </c>
      <c r="H728" t="inlineStr">
        <is>
          <t>true</t>
        </is>
      </c>
      <c r="I728" t="inlineStr">
        <is>
          <t>815</t>
        </is>
      </c>
      <c r="J728" t="inlineStr">
        <is>
          <t>HL7 ValueSet expand (2026-06-09)</t>
        </is>
      </c>
      <c r="K728" t="inlineStr">
        <is>
          <t>false</t>
        </is>
      </c>
    </row>
    <row r="729">
      <c r="A729" t="inlineStr">
        <is>
          <t>Patient.race</t>
        </is>
      </c>
      <c r="B729" t="inlineStr">
        <is>
          <t>urn:oid:2.16.840.1.113883.6.238</t>
        </is>
      </c>
      <c r="C729" t="inlineStr">
        <is>
          <t>1900-0</t>
        </is>
      </c>
      <c r="D729" t="inlineStr">
        <is>
          <t>Aleknagik</t>
        </is>
      </c>
      <c r="E729" t="inlineStr">
        <is>
          <t>detailed</t>
        </is>
      </c>
      <c r="F729" t="inlineStr">
        <is>
          <t>primary</t>
        </is>
      </c>
      <c r="G729" t="inlineStr">
        <is>
          <t>required</t>
        </is>
      </c>
      <c r="H729" t="inlineStr">
        <is>
          <t>true</t>
        </is>
      </c>
      <c r="I729" t="inlineStr">
        <is>
          <t>816</t>
        </is>
      </c>
      <c r="J729" t="inlineStr">
        <is>
          <t>HL7 ValueSet expand (2026-06-09)</t>
        </is>
      </c>
      <c r="K729" t="inlineStr">
        <is>
          <t>false</t>
        </is>
      </c>
    </row>
    <row r="730">
      <c r="A730" t="inlineStr">
        <is>
          <t>Patient.race</t>
        </is>
      </c>
      <c r="B730" t="inlineStr">
        <is>
          <t>urn:oid:2.16.840.1.113883.6.238</t>
        </is>
      </c>
      <c r="C730" t="inlineStr">
        <is>
          <t>1901-8</t>
        </is>
      </c>
      <c r="D730" t="inlineStr">
        <is>
          <t>Andreafsky</t>
        </is>
      </c>
      <c r="E730" t="inlineStr">
        <is>
          <t>detailed</t>
        </is>
      </c>
      <c r="F730" t="inlineStr">
        <is>
          <t>primary</t>
        </is>
      </c>
      <c r="G730" t="inlineStr">
        <is>
          <t>required</t>
        </is>
      </c>
      <c r="H730" t="inlineStr">
        <is>
          <t>true</t>
        </is>
      </c>
      <c r="I730" t="inlineStr">
        <is>
          <t>817</t>
        </is>
      </c>
      <c r="J730" t="inlineStr">
        <is>
          <t>HL7 ValueSet expand (2026-06-09)</t>
        </is>
      </c>
      <c r="K730" t="inlineStr">
        <is>
          <t>false</t>
        </is>
      </c>
    </row>
    <row r="731">
      <c r="A731" t="inlineStr">
        <is>
          <t>Patient.race</t>
        </is>
      </c>
      <c r="B731" t="inlineStr">
        <is>
          <t>urn:oid:2.16.840.1.113883.6.238</t>
        </is>
      </c>
      <c r="C731" t="inlineStr">
        <is>
          <t>1902-6</t>
        </is>
      </c>
      <c r="D731" t="inlineStr">
        <is>
          <t>Aniak</t>
        </is>
      </c>
      <c r="E731" t="inlineStr">
        <is>
          <t>detailed</t>
        </is>
      </c>
      <c r="F731" t="inlineStr">
        <is>
          <t>primary</t>
        </is>
      </c>
      <c r="G731" t="inlineStr">
        <is>
          <t>required</t>
        </is>
      </c>
      <c r="H731" t="inlineStr">
        <is>
          <t>true</t>
        </is>
      </c>
      <c r="I731" t="inlineStr">
        <is>
          <t>818</t>
        </is>
      </c>
      <c r="J731" t="inlineStr">
        <is>
          <t>HL7 ValueSet expand (2026-06-09)</t>
        </is>
      </c>
      <c r="K731" t="inlineStr">
        <is>
          <t>false</t>
        </is>
      </c>
    </row>
    <row r="732">
      <c r="A732" t="inlineStr">
        <is>
          <t>Patient.race</t>
        </is>
      </c>
      <c r="B732" t="inlineStr">
        <is>
          <t>urn:oid:2.16.840.1.113883.6.238</t>
        </is>
      </c>
      <c r="C732" t="inlineStr">
        <is>
          <t>1903-4</t>
        </is>
      </c>
      <c r="D732" t="inlineStr">
        <is>
          <t>Atmautluak</t>
        </is>
      </c>
      <c r="E732" t="inlineStr">
        <is>
          <t>detailed</t>
        </is>
      </c>
      <c r="F732" t="inlineStr">
        <is>
          <t>primary</t>
        </is>
      </c>
      <c r="G732" t="inlineStr">
        <is>
          <t>required</t>
        </is>
      </c>
      <c r="H732" t="inlineStr">
        <is>
          <t>true</t>
        </is>
      </c>
      <c r="I732" t="inlineStr">
        <is>
          <t>819</t>
        </is>
      </c>
      <c r="J732" t="inlineStr">
        <is>
          <t>HL7 ValueSet expand (2026-06-09)</t>
        </is>
      </c>
      <c r="K732" t="inlineStr">
        <is>
          <t>false</t>
        </is>
      </c>
    </row>
    <row r="733">
      <c r="A733" t="inlineStr">
        <is>
          <t>Patient.race</t>
        </is>
      </c>
      <c r="B733" t="inlineStr">
        <is>
          <t>urn:oid:2.16.840.1.113883.6.238</t>
        </is>
      </c>
      <c r="C733" t="inlineStr">
        <is>
          <t>1904-2</t>
        </is>
      </c>
      <c r="D733" t="inlineStr">
        <is>
          <t>Bethel</t>
        </is>
      </c>
      <c r="E733" t="inlineStr">
        <is>
          <t>detailed</t>
        </is>
      </c>
      <c r="F733" t="inlineStr">
        <is>
          <t>primary</t>
        </is>
      </c>
      <c r="G733" t="inlineStr">
        <is>
          <t>required</t>
        </is>
      </c>
      <c r="H733" t="inlineStr">
        <is>
          <t>true</t>
        </is>
      </c>
      <c r="I733" t="inlineStr">
        <is>
          <t>820</t>
        </is>
      </c>
      <c r="J733" t="inlineStr">
        <is>
          <t>HL7 ValueSet expand (2026-06-09)</t>
        </is>
      </c>
      <c r="K733" t="inlineStr">
        <is>
          <t>false</t>
        </is>
      </c>
    </row>
    <row r="734">
      <c r="A734" t="inlineStr">
        <is>
          <t>Patient.race</t>
        </is>
      </c>
      <c r="B734" t="inlineStr">
        <is>
          <t>urn:oid:2.16.840.1.113883.6.238</t>
        </is>
      </c>
      <c r="C734" t="inlineStr">
        <is>
          <t>1905-9</t>
        </is>
      </c>
      <c r="D734" t="inlineStr">
        <is>
          <t>Bill Moore's Slough</t>
        </is>
      </c>
      <c r="E734" t="inlineStr">
        <is>
          <t>detailed</t>
        </is>
      </c>
      <c r="F734" t="inlineStr">
        <is>
          <t>primary</t>
        </is>
      </c>
      <c r="G734" t="inlineStr">
        <is>
          <t>required</t>
        </is>
      </c>
      <c r="H734" t="inlineStr">
        <is>
          <t>true</t>
        </is>
      </c>
      <c r="I734" t="inlineStr">
        <is>
          <t>821</t>
        </is>
      </c>
      <c r="J734" t="inlineStr">
        <is>
          <t>HL7 ValueSet expand (2026-06-09)</t>
        </is>
      </c>
      <c r="K734" t="inlineStr">
        <is>
          <t>false</t>
        </is>
      </c>
    </row>
    <row r="735">
      <c r="A735" t="inlineStr">
        <is>
          <t>Patient.race</t>
        </is>
      </c>
      <c r="B735" t="inlineStr">
        <is>
          <t>urn:oid:2.16.840.1.113883.6.238</t>
        </is>
      </c>
      <c r="C735" t="inlineStr">
        <is>
          <t>1906-7</t>
        </is>
      </c>
      <c r="D735" t="inlineStr">
        <is>
          <t>Bristol Bay Yupik</t>
        </is>
      </c>
      <c r="E735" t="inlineStr">
        <is>
          <t>detailed</t>
        </is>
      </c>
      <c r="F735" t="inlineStr">
        <is>
          <t>primary</t>
        </is>
      </c>
      <c r="G735" t="inlineStr">
        <is>
          <t>required</t>
        </is>
      </c>
      <c r="H735" t="inlineStr">
        <is>
          <t>true</t>
        </is>
      </c>
      <c r="I735" t="inlineStr">
        <is>
          <t>822</t>
        </is>
      </c>
      <c r="J735" t="inlineStr">
        <is>
          <t>HL7 ValueSet expand (2026-06-09)</t>
        </is>
      </c>
      <c r="K735" t="inlineStr">
        <is>
          <t>false</t>
        </is>
      </c>
    </row>
    <row r="736">
      <c r="A736" t="inlineStr">
        <is>
          <t>Patient.race</t>
        </is>
      </c>
      <c r="B736" t="inlineStr">
        <is>
          <t>urn:oid:2.16.840.1.113883.6.238</t>
        </is>
      </c>
      <c r="C736" t="inlineStr">
        <is>
          <t>1907-5</t>
        </is>
      </c>
      <c r="D736" t="inlineStr">
        <is>
          <t>Calista Yupik</t>
        </is>
      </c>
      <c r="E736" t="inlineStr">
        <is>
          <t>detailed</t>
        </is>
      </c>
      <c r="F736" t="inlineStr">
        <is>
          <t>primary</t>
        </is>
      </c>
      <c r="G736" t="inlineStr">
        <is>
          <t>required</t>
        </is>
      </c>
      <c r="H736" t="inlineStr">
        <is>
          <t>true</t>
        </is>
      </c>
      <c r="I736" t="inlineStr">
        <is>
          <t>823</t>
        </is>
      </c>
      <c r="J736" t="inlineStr">
        <is>
          <t>HL7 ValueSet expand (2026-06-09)</t>
        </is>
      </c>
      <c r="K736" t="inlineStr">
        <is>
          <t>false</t>
        </is>
      </c>
    </row>
    <row r="737">
      <c r="A737" t="inlineStr">
        <is>
          <t>Patient.race</t>
        </is>
      </c>
      <c r="B737" t="inlineStr">
        <is>
          <t>urn:oid:2.16.840.1.113883.6.238</t>
        </is>
      </c>
      <c r="C737" t="inlineStr">
        <is>
          <t>1908-3</t>
        </is>
      </c>
      <c r="D737" t="inlineStr">
        <is>
          <t>Chefornak</t>
        </is>
      </c>
      <c r="E737" t="inlineStr">
        <is>
          <t>detailed</t>
        </is>
      </c>
      <c r="F737" t="inlineStr">
        <is>
          <t>primary</t>
        </is>
      </c>
      <c r="G737" t="inlineStr">
        <is>
          <t>required</t>
        </is>
      </c>
      <c r="H737" t="inlineStr">
        <is>
          <t>true</t>
        </is>
      </c>
      <c r="I737" t="inlineStr">
        <is>
          <t>824</t>
        </is>
      </c>
      <c r="J737" t="inlineStr">
        <is>
          <t>HL7 ValueSet expand (2026-06-09)</t>
        </is>
      </c>
      <c r="K737" t="inlineStr">
        <is>
          <t>false</t>
        </is>
      </c>
    </row>
    <row r="738">
      <c r="A738" t="inlineStr">
        <is>
          <t>Patient.race</t>
        </is>
      </c>
      <c r="B738" t="inlineStr">
        <is>
          <t>urn:oid:2.16.840.1.113883.6.238</t>
        </is>
      </c>
      <c r="C738" t="inlineStr">
        <is>
          <t>1909-1</t>
        </is>
      </c>
      <c r="D738" t="inlineStr">
        <is>
          <t>Chevak</t>
        </is>
      </c>
      <c r="E738" t="inlineStr">
        <is>
          <t>detailed</t>
        </is>
      </c>
      <c r="F738" t="inlineStr">
        <is>
          <t>primary</t>
        </is>
      </c>
      <c r="G738" t="inlineStr">
        <is>
          <t>required</t>
        </is>
      </c>
      <c r="H738" t="inlineStr">
        <is>
          <t>true</t>
        </is>
      </c>
      <c r="I738" t="inlineStr">
        <is>
          <t>825</t>
        </is>
      </c>
      <c r="J738" t="inlineStr">
        <is>
          <t>HL7 ValueSet expand (2026-06-09)</t>
        </is>
      </c>
      <c r="K738" t="inlineStr">
        <is>
          <t>false</t>
        </is>
      </c>
    </row>
    <row r="739">
      <c r="A739" t="inlineStr">
        <is>
          <t>Patient.race</t>
        </is>
      </c>
      <c r="B739" t="inlineStr">
        <is>
          <t>urn:oid:2.16.840.1.113883.6.238</t>
        </is>
      </c>
      <c r="C739" t="inlineStr">
        <is>
          <t>1910-9</t>
        </is>
      </c>
      <c r="D739" t="inlineStr">
        <is>
          <t>Chuathbaluk</t>
        </is>
      </c>
      <c r="E739" t="inlineStr">
        <is>
          <t>detailed</t>
        </is>
      </c>
      <c r="F739" t="inlineStr">
        <is>
          <t>primary</t>
        </is>
      </c>
      <c r="G739" t="inlineStr">
        <is>
          <t>required</t>
        </is>
      </c>
      <c r="H739" t="inlineStr">
        <is>
          <t>true</t>
        </is>
      </c>
      <c r="I739" t="inlineStr">
        <is>
          <t>826</t>
        </is>
      </c>
      <c r="J739" t="inlineStr">
        <is>
          <t>HL7 ValueSet expand (2026-06-09)</t>
        </is>
      </c>
      <c r="K739" t="inlineStr">
        <is>
          <t>false</t>
        </is>
      </c>
    </row>
    <row r="740">
      <c r="A740" t="inlineStr">
        <is>
          <t>Patient.race</t>
        </is>
      </c>
      <c r="B740" t="inlineStr">
        <is>
          <t>urn:oid:2.16.840.1.113883.6.238</t>
        </is>
      </c>
      <c r="C740" t="inlineStr">
        <is>
          <t>1911-7</t>
        </is>
      </c>
      <c r="D740" t="inlineStr">
        <is>
          <t>Clark's Point</t>
        </is>
      </c>
      <c r="E740" t="inlineStr">
        <is>
          <t>detailed</t>
        </is>
      </c>
      <c r="F740" t="inlineStr">
        <is>
          <t>primary</t>
        </is>
      </c>
      <c r="G740" t="inlineStr">
        <is>
          <t>required</t>
        </is>
      </c>
      <c r="H740" t="inlineStr">
        <is>
          <t>true</t>
        </is>
      </c>
      <c r="I740" t="inlineStr">
        <is>
          <t>827</t>
        </is>
      </c>
      <c r="J740" t="inlineStr">
        <is>
          <t>HL7 ValueSet expand (2026-06-09)</t>
        </is>
      </c>
      <c r="K740" t="inlineStr">
        <is>
          <t>false</t>
        </is>
      </c>
    </row>
    <row r="741">
      <c r="A741" t="inlineStr">
        <is>
          <t>Patient.race</t>
        </is>
      </c>
      <c r="B741" t="inlineStr">
        <is>
          <t>urn:oid:2.16.840.1.113883.6.238</t>
        </is>
      </c>
      <c r="C741" t="inlineStr">
        <is>
          <t>1912-5</t>
        </is>
      </c>
      <c r="D741" t="inlineStr">
        <is>
          <t>Crooked Creek</t>
        </is>
      </c>
      <c r="E741" t="inlineStr">
        <is>
          <t>detailed</t>
        </is>
      </c>
      <c r="F741" t="inlineStr">
        <is>
          <t>primary</t>
        </is>
      </c>
      <c r="G741" t="inlineStr">
        <is>
          <t>required</t>
        </is>
      </c>
      <c r="H741" t="inlineStr">
        <is>
          <t>true</t>
        </is>
      </c>
      <c r="I741" t="inlineStr">
        <is>
          <t>828</t>
        </is>
      </c>
      <c r="J741" t="inlineStr">
        <is>
          <t>HL7 ValueSet expand (2026-06-09)</t>
        </is>
      </c>
      <c r="K741" t="inlineStr">
        <is>
          <t>false</t>
        </is>
      </c>
    </row>
    <row r="742">
      <c r="A742" t="inlineStr">
        <is>
          <t>Patient.race</t>
        </is>
      </c>
      <c r="B742" t="inlineStr">
        <is>
          <t>urn:oid:2.16.840.1.113883.6.238</t>
        </is>
      </c>
      <c r="C742" t="inlineStr">
        <is>
          <t>1913-3</t>
        </is>
      </c>
      <c r="D742" t="inlineStr">
        <is>
          <t>Dillingham</t>
        </is>
      </c>
      <c r="E742" t="inlineStr">
        <is>
          <t>detailed</t>
        </is>
      </c>
      <c r="F742" t="inlineStr">
        <is>
          <t>primary</t>
        </is>
      </c>
      <c r="G742" t="inlineStr">
        <is>
          <t>required</t>
        </is>
      </c>
      <c r="H742" t="inlineStr">
        <is>
          <t>true</t>
        </is>
      </c>
      <c r="I742" t="inlineStr">
        <is>
          <t>829</t>
        </is>
      </c>
      <c r="J742" t="inlineStr">
        <is>
          <t>HL7 ValueSet expand (2026-06-09)</t>
        </is>
      </c>
      <c r="K742" t="inlineStr">
        <is>
          <t>false</t>
        </is>
      </c>
    </row>
    <row r="743">
      <c r="A743" t="inlineStr">
        <is>
          <t>Patient.race</t>
        </is>
      </c>
      <c r="B743" t="inlineStr">
        <is>
          <t>urn:oid:2.16.840.1.113883.6.238</t>
        </is>
      </c>
      <c r="C743" t="inlineStr">
        <is>
          <t>1914-1</t>
        </is>
      </c>
      <c r="D743" t="inlineStr">
        <is>
          <t>Eek</t>
        </is>
      </c>
      <c r="E743" t="inlineStr">
        <is>
          <t>detailed</t>
        </is>
      </c>
      <c r="F743" t="inlineStr">
        <is>
          <t>primary</t>
        </is>
      </c>
      <c r="G743" t="inlineStr">
        <is>
          <t>required</t>
        </is>
      </c>
      <c r="H743" t="inlineStr">
        <is>
          <t>true</t>
        </is>
      </c>
      <c r="I743" t="inlineStr">
        <is>
          <t>830</t>
        </is>
      </c>
      <c r="J743" t="inlineStr">
        <is>
          <t>HL7 ValueSet expand (2026-06-09)</t>
        </is>
      </c>
      <c r="K743" t="inlineStr">
        <is>
          <t>false</t>
        </is>
      </c>
    </row>
    <row r="744">
      <c r="A744" t="inlineStr">
        <is>
          <t>Patient.race</t>
        </is>
      </c>
      <c r="B744" t="inlineStr">
        <is>
          <t>urn:oid:2.16.840.1.113883.6.238</t>
        </is>
      </c>
      <c r="C744" t="inlineStr">
        <is>
          <t>1915-8</t>
        </is>
      </c>
      <c r="D744" t="inlineStr">
        <is>
          <t>Ekuk</t>
        </is>
      </c>
      <c r="E744" t="inlineStr">
        <is>
          <t>detailed</t>
        </is>
      </c>
      <c r="F744" t="inlineStr">
        <is>
          <t>primary</t>
        </is>
      </c>
      <c r="G744" t="inlineStr">
        <is>
          <t>required</t>
        </is>
      </c>
      <c r="H744" t="inlineStr">
        <is>
          <t>true</t>
        </is>
      </c>
      <c r="I744" t="inlineStr">
        <is>
          <t>831</t>
        </is>
      </c>
      <c r="J744" t="inlineStr">
        <is>
          <t>HL7 ValueSet expand (2026-06-09)</t>
        </is>
      </c>
      <c r="K744" t="inlineStr">
        <is>
          <t>false</t>
        </is>
      </c>
    </row>
    <row r="745">
      <c r="A745" t="inlineStr">
        <is>
          <t>Patient.race</t>
        </is>
      </c>
      <c r="B745" t="inlineStr">
        <is>
          <t>urn:oid:2.16.840.1.113883.6.238</t>
        </is>
      </c>
      <c r="C745" t="inlineStr">
        <is>
          <t>1916-6</t>
        </is>
      </c>
      <c r="D745" t="inlineStr">
        <is>
          <t>Ekwok</t>
        </is>
      </c>
      <c r="E745" t="inlineStr">
        <is>
          <t>detailed</t>
        </is>
      </c>
      <c r="F745" t="inlineStr">
        <is>
          <t>primary</t>
        </is>
      </c>
      <c r="G745" t="inlineStr">
        <is>
          <t>required</t>
        </is>
      </c>
      <c r="H745" t="inlineStr">
        <is>
          <t>true</t>
        </is>
      </c>
      <c r="I745" t="inlineStr">
        <is>
          <t>832</t>
        </is>
      </c>
      <c r="J745" t="inlineStr">
        <is>
          <t>HL7 ValueSet expand (2026-06-09)</t>
        </is>
      </c>
      <c r="K745" t="inlineStr">
        <is>
          <t>false</t>
        </is>
      </c>
    </row>
    <row r="746">
      <c r="A746" t="inlineStr">
        <is>
          <t>Patient.race</t>
        </is>
      </c>
      <c r="B746" t="inlineStr">
        <is>
          <t>urn:oid:2.16.840.1.113883.6.238</t>
        </is>
      </c>
      <c r="C746" t="inlineStr">
        <is>
          <t>1917-4</t>
        </is>
      </c>
      <c r="D746" t="inlineStr">
        <is>
          <t>Emmonak</t>
        </is>
      </c>
      <c r="E746" t="inlineStr">
        <is>
          <t>detailed</t>
        </is>
      </c>
      <c r="F746" t="inlineStr">
        <is>
          <t>primary</t>
        </is>
      </c>
      <c r="G746" t="inlineStr">
        <is>
          <t>required</t>
        </is>
      </c>
      <c r="H746" t="inlineStr">
        <is>
          <t>true</t>
        </is>
      </c>
      <c r="I746" t="inlineStr">
        <is>
          <t>833</t>
        </is>
      </c>
      <c r="J746" t="inlineStr">
        <is>
          <t>HL7 ValueSet expand (2026-06-09)</t>
        </is>
      </c>
      <c r="K746" t="inlineStr">
        <is>
          <t>false</t>
        </is>
      </c>
    </row>
    <row r="747">
      <c r="A747" t="inlineStr">
        <is>
          <t>Patient.race</t>
        </is>
      </c>
      <c r="B747" t="inlineStr">
        <is>
          <t>urn:oid:2.16.840.1.113883.6.238</t>
        </is>
      </c>
      <c r="C747" t="inlineStr">
        <is>
          <t>1918-2</t>
        </is>
      </c>
      <c r="D747" t="inlineStr">
        <is>
          <t>Goodnews Bay</t>
        </is>
      </c>
      <c r="E747" t="inlineStr">
        <is>
          <t>detailed</t>
        </is>
      </c>
      <c r="F747" t="inlineStr">
        <is>
          <t>primary</t>
        </is>
      </c>
      <c r="G747" t="inlineStr">
        <is>
          <t>required</t>
        </is>
      </c>
      <c r="H747" t="inlineStr">
        <is>
          <t>true</t>
        </is>
      </c>
      <c r="I747" t="inlineStr">
        <is>
          <t>834</t>
        </is>
      </c>
      <c r="J747" t="inlineStr">
        <is>
          <t>HL7 ValueSet expand (2026-06-09)</t>
        </is>
      </c>
      <c r="K747" t="inlineStr">
        <is>
          <t>false</t>
        </is>
      </c>
    </row>
    <row r="748">
      <c r="A748" t="inlineStr">
        <is>
          <t>Patient.race</t>
        </is>
      </c>
      <c r="B748" t="inlineStr">
        <is>
          <t>urn:oid:2.16.840.1.113883.6.238</t>
        </is>
      </c>
      <c r="C748" t="inlineStr">
        <is>
          <t>1919-0</t>
        </is>
      </c>
      <c r="D748" t="inlineStr">
        <is>
          <t>Hooper Bay</t>
        </is>
      </c>
      <c r="E748" t="inlineStr">
        <is>
          <t>detailed</t>
        </is>
      </c>
      <c r="F748" t="inlineStr">
        <is>
          <t>primary</t>
        </is>
      </c>
      <c r="G748" t="inlineStr">
        <is>
          <t>required</t>
        </is>
      </c>
      <c r="H748" t="inlineStr">
        <is>
          <t>true</t>
        </is>
      </c>
      <c r="I748" t="inlineStr">
        <is>
          <t>835</t>
        </is>
      </c>
      <c r="J748" t="inlineStr">
        <is>
          <t>HL7 ValueSet expand (2026-06-09)</t>
        </is>
      </c>
      <c r="K748" t="inlineStr">
        <is>
          <t>false</t>
        </is>
      </c>
    </row>
    <row r="749">
      <c r="A749" t="inlineStr">
        <is>
          <t>Patient.race</t>
        </is>
      </c>
      <c r="B749" t="inlineStr">
        <is>
          <t>urn:oid:2.16.840.1.113883.6.238</t>
        </is>
      </c>
      <c r="C749" t="inlineStr">
        <is>
          <t>1920-8</t>
        </is>
      </c>
      <c r="D749" t="inlineStr">
        <is>
          <t>Iqurmuit (Russian Mission)</t>
        </is>
      </c>
      <c r="E749" t="inlineStr">
        <is>
          <t>detailed</t>
        </is>
      </c>
      <c r="F749" t="inlineStr">
        <is>
          <t>primary</t>
        </is>
      </c>
      <c r="G749" t="inlineStr">
        <is>
          <t>required</t>
        </is>
      </c>
      <c r="H749" t="inlineStr">
        <is>
          <t>true</t>
        </is>
      </c>
      <c r="I749" t="inlineStr">
        <is>
          <t>836</t>
        </is>
      </c>
      <c r="J749" t="inlineStr">
        <is>
          <t>HL7 ValueSet expand (2026-06-09)</t>
        </is>
      </c>
      <c r="K749" t="inlineStr">
        <is>
          <t>false</t>
        </is>
      </c>
    </row>
    <row r="750">
      <c r="A750" t="inlineStr">
        <is>
          <t>Patient.race</t>
        </is>
      </c>
      <c r="B750" t="inlineStr">
        <is>
          <t>urn:oid:2.16.840.1.113883.6.238</t>
        </is>
      </c>
      <c r="C750" t="inlineStr">
        <is>
          <t>1921-6</t>
        </is>
      </c>
      <c r="D750" t="inlineStr">
        <is>
          <t>Kalskag</t>
        </is>
      </c>
      <c r="E750" t="inlineStr">
        <is>
          <t>detailed</t>
        </is>
      </c>
      <c r="F750" t="inlineStr">
        <is>
          <t>primary</t>
        </is>
      </c>
      <c r="G750" t="inlineStr">
        <is>
          <t>required</t>
        </is>
      </c>
      <c r="H750" t="inlineStr">
        <is>
          <t>true</t>
        </is>
      </c>
      <c r="I750" t="inlineStr">
        <is>
          <t>837</t>
        </is>
      </c>
      <c r="J750" t="inlineStr">
        <is>
          <t>HL7 ValueSet expand (2026-06-09)</t>
        </is>
      </c>
      <c r="K750" t="inlineStr">
        <is>
          <t>false</t>
        </is>
      </c>
    </row>
    <row r="751">
      <c r="A751" t="inlineStr">
        <is>
          <t>Patient.race</t>
        </is>
      </c>
      <c r="B751" t="inlineStr">
        <is>
          <t>urn:oid:2.16.840.1.113883.6.238</t>
        </is>
      </c>
      <c r="C751" t="inlineStr">
        <is>
          <t>1922-4</t>
        </is>
      </c>
      <c r="D751" t="inlineStr">
        <is>
          <t>Kasigluk</t>
        </is>
      </c>
      <c r="E751" t="inlineStr">
        <is>
          <t>detailed</t>
        </is>
      </c>
      <c r="F751" t="inlineStr">
        <is>
          <t>primary</t>
        </is>
      </c>
      <c r="G751" t="inlineStr">
        <is>
          <t>required</t>
        </is>
      </c>
      <c r="H751" t="inlineStr">
        <is>
          <t>true</t>
        </is>
      </c>
      <c r="I751" t="inlineStr">
        <is>
          <t>838</t>
        </is>
      </c>
      <c r="J751" t="inlineStr">
        <is>
          <t>HL7 ValueSet expand (2026-06-09)</t>
        </is>
      </c>
      <c r="K751" t="inlineStr">
        <is>
          <t>false</t>
        </is>
      </c>
    </row>
    <row r="752">
      <c r="A752" t="inlineStr">
        <is>
          <t>Patient.race</t>
        </is>
      </c>
      <c r="B752" t="inlineStr">
        <is>
          <t>urn:oid:2.16.840.1.113883.6.238</t>
        </is>
      </c>
      <c r="C752" t="inlineStr">
        <is>
          <t>1923-2</t>
        </is>
      </c>
      <c r="D752" t="inlineStr">
        <is>
          <t>Kipnuk</t>
        </is>
      </c>
      <c r="E752" t="inlineStr">
        <is>
          <t>detailed</t>
        </is>
      </c>
      <c r="F752" t="inlineStr">
        <is>
          <t>primary</t>
        </is>
      </c>
      <c r="G752" t="inlineStr">
        <is>
          <t>required</t>
        </is>
      </c>
      <c r="H752" t="inlineStr">
        <is>
          <t>true</t>
        </is>
      </c>
      <c r="I752" t="inlineStr">
        <is>
          <t>839</t>
        </is>
      </c>
      <c r="J752" t="inlineStr">
        <is>
          <t>HL7 ValueSet expand (2026-06-09)</t>
        </is>
      </c>
      <c r="K752" t="inlineStr">
        <is>
          <t>false</t>
        </is>
      </c>
    </row>
    <row r="753">
      <c r="A753" t="inlineStr">
        <is>
          <t>Patient.race</t>
        </is>
      </c>
      <c r="B753" t="inlineStr">
        <is>
          <t>urn:oid:2.16.840.1.113883.6.238</t>
        </is>
      </c>
      <c r="C753" t="inlineStr">
        <is>
          <t>1924-0</t>
        </is>
      </c>
      <c r="D753" t="inlineStr">
        <is>
          <t>Koliganek</t>
        </is>
      </c>
      <c r="E753" t="inlineStr">
        <is>
          <t>detailed</t>
        </is>
      </c>
      <c r="F753" t="inlineStr">
        <is>
          <t>primary</t>
        </is>
      </c>
      <c r="G753" t="inlineStr">
        <is>
          <t>required</t>
        </is>
      </c>
      <c r="H753" t="inlineStr">
        <is>
          <t>true</t>
        </is>
      </c>
      <c r="I753" t="inlineStr">
        <is>
          <t>840</t>
        </is>
      </c>
      <c r="J753" t="inlineStr">
        <is>
          <t>HL7 ValueSet expand (2026-06-09)</t>
        </is>
      </c>
      <c r="K753" t="inlineStr">
        <is>
          <t>false</t>
        </is>
      </c>
    </row>
    <row r="754">
      <c r="A754" t="inlineStr">
        <is>
          <t>Patient.race</t>
        </is>
      </c>
      <c r="B754" t="inlineStr">
        <is>
          <t>urn:oid:2.16.840.1.113883.6.238</t>
        </is>
      </c>
      <c r="C754" t="inlineStr">
        <is>
          <t>1925-7</t>
        </is>
      </c>
      <c r="D754" t="inlineStr">
        <is>
          <t>Kongiganak</t>
        </is>
      </c>
      <c r="E754" t="inlineStr">
        <is>
          <t>detailed</t>
        </is>
      </c>
      <c r="F754" t="inlineStr">
        <is>
          <t>primary</t>
        </is>
      </c>
      <c r="G754" t="inlineStr">
        <is>
          <t>required</t>
        </is>
      </c>
      <c r="H754" t="inlineStr">
        <is>
          <t>true</t>
        </is>
      </c>
      <c r="I754" t="inlineStr">
        <is>
          <t>841</t>
        </is>
      </c>
      <c r="J754" t="inlineStr">
        <is>
          <t>HL7 ValueSet expand (2026-06-09)</t>
        </is>
      </c>
      <c r="K754" t="inlineStr">
        <is>
          <t>false</t>
        </is>
      </c>
    </row>
    <row r="755">
      <c r="A755" t="inlineStr">
        <is>
          <t>Patient.race</t>
        </is>
      </c>
      <c r="B755" t="inlineStr">
        <is>
          <t>urn:oid:2.16.840.1.113883.6.238</t>
        </is>
      </c>
      <c r="C755" t="inlineStr">
        <is>
          <t>1926-5</t>
        </is>
      </c>
      <c r="D755" t="inlineStr">
        <is>
          <t>Kotlik</t>
        </is>
      </c>
      <c r="E755" t="inlineStr">
        <is>
          <t>detailed</t>
        </is>
      </c>
      <c r="F755" t="inlineStr">
        <is>
          <t>primary</t>
        </is>
      </c>
      <c r="G755" t="inlineStr">
        <is>
          <t>required</t>
        </is>
      </c>
      <c r="H755" t="inlineStr">
        <is>
          <t>true</t>
        </is>
      </c>
      <c r="I755" t="inlineStr">
        <is>
          <t>842</t>
        </is>
      </c>
      <c r="J755" t="inlineStr">
        <is>
          <t>HL7 ValueSet expand (2026-06-09)</t>
        </is>
      </c>
      <c r="K755" t="inlineStr">
        <is>
          <t>false</t>
        </is>
      </c>
    </row>
    <row r="756">
      <c r="A756" t="inlineStr">
        <is>
          <t>Patient.race</t>
        </is>
      </c>
      <c r="B756" t="inlineStr">
        <is>
          <t>urn:oid:2.16.840.1.113883.6.238</t>
        </is>
      </c>
      <c r="C756" t="inlineStr">
        <is>
          <t>1927-3</t>
        </is>
      </c>
      <c r="D756" t="inlineStr">
        <is>
          <t>Kwethluk</t>
        </is>
      </c>
      <c r="E756" t="inlineStr">
        <is>
          <t>detailed</t>
        </is>
      </c>
      <c r="F756" t="inlineStr">
        <is>
          <t>primary</t>
        </is>
      </c>
      <c r="G756" t="inlineStr">
        <is>
          <t>required</t>
        </is>
      </c>
      <c r="H756" t="inlineStr">
        <is>
          <t>true</t>
        </is>
      </c>
      <c r="I756" t="inlineStr">
        <is>
          <t>843</t>
        </is>
      </c>
      <c r="J756" t="inlineStr">
        <is>
          <t>HL7 ValueSet expand (2026-06-09)</t>
        </is>
      </c>
      <c r="K756" t="inlineStr">
        <is>
          <t>false</t>
        </is>
      </c>
    </row>
    <row r="757">
      <c r="A757" t="inlineStr">
        <is>
          <t>Patient.race</t>
        </is>
      </c>
      <c r="B757" t="inlineStr">
        <is>
          <t>urn:oid:2.16.840.1.113883.6.238</t>
        </is>
      </c>
      <c r="C757" t="inlineStr">
        <is>
          <t>1928-1</t>
        </is>
      </c>
      <c r="D757" t="inlineStr">
        <is>
          <t>Kwigillingok</t>
        </is>
      </c>
      <c r="E757" t="inlineStr">
        <is>
          <t>detailed</t>
        </is>
      </c>
      <c r="F757" t="inlineStr">
        <is>
          <t>primary</t>
        </is>
      </c>
      <c r="G757" t="inlineStr">
        <is>
          <t>required</t>
        </is>
      </c>
      <c r="H757" t="inlineStr">
        <is>
          <t>true</t>
        </is>
      </c>
      <c r="I757" t="inlineStr">
        <is>
          <t>844</t>
        </is>
      </c>
      <c r="J757" t="inlineStr">
        <is>
          <t>HL7 ValueSet expand (2026-06-09)</t>
        </is>
      </c>
      <c r="K757" t="inlineStr">
        <is>
          <t>false</t>
        </is>
      </c>
    </row>
    <row r="758">
      <c r="A758" t="inlineStr">
        <is>
          <t>Patient.race</t>
        </is>
      </c>
      <c r="B758" t="inlineStr">
        <is>
          <t>urn:oid:2.16.840.1.113883.6.238</t>
        </is>
      </c>
      <c r="C758" t="inlineStr">
        <is>
          <t>1929-9</t>
        </is>
      </c>
      <c r="D758" t="inlineStr">
        <is>
          <t>Levelock</t>
        </is>
      </c>
      <c r="E758" t="inlineStr">
        <is>
          <t>detailed</t>
        </is>
      </c>
      <c r="F758" t="inlineStr">
        <is>
          <t>primary</t>
        </is>
      </c>
      <c r="G758" t="inlineStr">
        <is>
          <t>required</t>
        </is>
      </c>
      <c r="H758" t="inlineStr">
        <is>
          <t>true</t>
        </is>
      </c>
      <c r="I758" t="inlineStr">
        <is>
          <t>845</t>
        </is>
      </c>
      <c r="J758" t="inlineStr">
        <is>
          <t>HL7 ValueSet expand (2026-06-09)</t>
        </is>
      </c>
      <c r="K758" t="inlineStr">
        <is>
          <t>false</t>
        </is>
      </c>
    </row>
    <row r="759">
      <c r="A759" t="inlineStr">
        <is>
          <t>Patient.race</t>
        </is>
      </c>
      <c r="B759" t="inlineStr">
        <is>
          <t>urn:oid:2.16.840.1.113883.6.238</t>
        </is>
      </c>
      <c r="C759" t="inlineStr">
        <is>
          <t>1930-7</t>
        </is>
      </c>
      <c r="D759" t="inlineStr">
        <is>
          <t>Lower Kalskag</t>
        </is>
      </c>
      <c r="E759" t="inlineStr">
        <is>
          <t>detailed</t>
        </is>
      </c>
      <c r="F759" t="inlineStr">
        <is>
          <t>primary</t>
        </is>
      </c>
      <c r="G759" t="inlineStr">
        <is>
          <t>required</t>
        </is>
      </c>
      <c r="H759" t="inlineStr">
        <is>
          <t>true</t>
        </is>
      </c>
      <c r="I759" t="inlineStr">
        <is>
          <t>846</t>
        </is>
      </c>
      <c r="J759" t="inlineStr">
        <is>
          <t>HL7 ValueSet expand (2026-06-09)</t>
        </is>
      </c>
      <c r="K759" t="inlineStr">
        <is>
          <t>false</t>
        </is>
      </c>
    </row>
    <row r="760">
      <c r="A760" t="inlineStr">
        <is>
          <t>Patient.race</t>
        </is>
      </c>
      <c r="B760" t="inlineStr">
        <is>
          <t>urn:oid:2.16.840.1.113883.6.238</t>
        </is>
      </c>
      <c r="C760" t="inlineStr">
        <is>
          <t>1931-5</t>
        </is>
      </c>
      <c r="D760" t="inlineStr">
        <is>
          <t>Manokotak</t>
        </is>
      </c>
      <c r="E760" t="inlineStr">
        <is>
          <t>detailed</t>
        </is>
      </c>
      <c r="F760" t="inlineStr">
        <is>
          <t>primary</t>
        </is>
      </c>
      <c r="G760" t="inlineStr">
        <is>
          <t>required</t>
        </is>
      </c>
      <c r="H760" t="inlineStr">
        <is>
          <t>true</t>
        </is>
      </c>
      <c r="I760" t="inlineStr">
        <is>
          <t>847</t>
        </is>
      </c>
      <c r="J760" t="inlineStr">
        <is>
          <t>HL7 ValueSet expand (2026-06-09)</t>
        </is>
      </c>
      <c r="K760" t="inlineStr">
        <is>
          <t>false</t>
        </is>
      </c>
    </row>
    <row r="761">
      <c r="A761" t="inlineStr">
        <is>
          <t>Patient.race</t>
        </is>
      </c>
      <c r="B761" t="inlineStr">
        <is>
          <t>urn:oid:2.16.840.1.113883.6.238</t>
        </is>
      </c>
      <c r="C761" t="inlineStr">
        <is>
          <t>1932-3</t>
        </is>
      </c>
      <c r="D761" t="inlineStr">
        <is>
          <t>Marshall</t>
        </is>
      </c>
      <c r="E761" t="inlineStr">
        <is>
          <t>detailed</t>
        </is>
      </c>
      <c r="F761" t="inlineStr">
        <is>
          <t>primary</t>
        </is>
      </c>
      <c r="G761" t="inlineStr">
        <is>
          <t>required</t>
        </is>
      </c>
      <c r="H761" t="inlineStr">
        <is>
          <t>true</t>
        </is>
      </c>
      <c r="I761" t="inlineStr">
        <is>
          <t>848</t>
        </is>
      </c>
      <c r="J761" t="inlineStr">
        <is>
          <t>HL7 ValueSet expand (2026-06-09)</t>
        </is>
      </c>
      <c r="K761" t="inlineStr">
        <is>
          <t>false</t>
        </is>
      </c>
    </row>
    <row r="762">
      <c r="A762" t="inlineStr">
        <is>
          <t>Patient.race</t>
        </is>
      </c>
      <c r="B762" t="inlineStr">
        <is>
          <t>urn:oid:2.16.840.1.113883.6.238</t>
        </is>
      </c>
      <c r="C762" t="inlineStr">
        <is>
          <t>1933-1</t>
        </is>
      </c>
      <c r="D762" t="inlineStr">
        <is>
          <t>Mekoryuk</t>
        </is>
      </c>
      <c r="E762" t="inlineStr">
        <is>
          <t>detailed</t>
        </is>
      </c>
      <c r="F762" t="inlineStr">
        <is>
          <t>primary</t>
        </is>
      </c>
      <c r="G762" t="inlineStr">
        <is>
          <t>required</t>
        </is>
      </c>
      <c r="H762" t="inlineStr">
        <is>
          <t>true</t>
        </is>
      </c>
      <c r="I762" t="inlineStr">
        <is>
          <t>849</t>
        </is>
      </c>
      <c r="J762" t="inlineStr">
        <is>
          <t>HL7 ValueSet expand (2026-06-09)</t>
        </is>
      </c>
      <c r="K762" t="inlineStr">
        <is>
          <t>false</t>
        </is>
      </c>
    </row>
    <row r="763">
      <c r="A763" t="inlineStr">
        <is>
          <t>Patient.race</t>
        </is>
      </c>
      <c r="B763" t="inlineStr">
        <is>
          <t>urn:oid:2.16.840.1.113883.6.238</t>
        </is>
      </c>
      <c r="C763" t="inlineStr">
        <is>
          <t>1934-9</t>
        </is>
      </c>
      <c r="D763" t="inlineStr">
        <is>
          <t>Mountain Village</t>
        </is>
      </c>
      <c r="E763" t="inlineStr">
        <is>
          <t>detailed</t>
        </is>
      </c>
      <c r="F763" t="inlineStr">
        <is>
          <t>primary</t>
        </is>
      </c>
      <c r="G763" t="inlineStr">
        <is>
          <t>required</t>
        </is>
      </c>
      <c r="H763" t="inlineStr">
        <is>
          <t>true</t>
        </is>
      </c>
      <c r="I763" t="inlineStr">
        <is>
          <t>850</t>
        </is>
      </c>
      <c r="J763" t="inlineStr">
        <is>
          <t>HL7 ValueSet expand (2026-06-09)</t>
        </is>
      </c>
      <c r="K763" t="inlineStr">
        <is>
          <t>false</t>
        </is>
      </c>
    </row>
    <row r="764">
      <c r="A764" t="inlineStr">
        <is>
          <t>Patient.race</t>
        </is>
      </c>
      <c r="B764" t="inlineStr">
        <is>
          <t>urn:oid:2.16.840.1.113883.6.238</t>
        </is>
      </c>
      <c r="C764" t="inlineStr">
        <is>
          <t>1935-6</t>
        </is>
      </c>
      <c r="D764" t="inlineStr">
        <is>
          <t>Naknek</t>
        </is>
      </c>
      <c r="E764" t="inlineStr">
        <is>
          <t>detailed</t>
        </is>
      </c>
      <c r="F764" t="inlineStr">
        <is>
          <t>primary</t>
        </is>
      </c>
      <c r="G764" t="inlineStr">
        <is>
          <t>required</t>
        </is>
      </c>
      <c r="H764" t="inlineStr">
        <is>
          <t>true</t>
        </is>
      </c>
      <c r="I764" t="inlineStr">
        <is>
          <t>851</t>
        </is>
      </c>
      <c r="J764" t="inlineStr">
        <is>
          <t>HL7 ValueSet expand (2026-06-09)</t>
        </is>
      </c>
      <c r="K764" t="inlineStr">
        <is>
          <t>false</t>
        </is>
      </c>
    </row>
    <row r="765">
      <c r="A765" t="inlineStr">
        <is>
          <t>Patient.race</t>
        </is>
      </c>
      <c r="B765" t="inlineStr">
        <is>
          <t>urn:oid:2.16.840.1.113883.6.238</t>
        </is>
      </c>
      <c r="C765" t="inlineStr">
        <is>
          <t>1936-4</t>
        </is>
      </c>
      <c r="D765" t="inlineStr">
        <is>
          <t>Napaumute</t>
        </is>
      </c>
      <c r="E765" t="inlineStr">
        <is>
          <t>detailed</t>
        </is>
      </c>
      <c r="F765" t="inlineStr">
        <is>
          <t>primary</t>
        </is>
      </c>
      <c r="G765" t="inlineStr">
        <is>
          <t>required</t>
        </is>
      </c>
      <c r="H765" t="inlineStr">
        <is>
          <t>true</t>
        </is>
      </c>
      <c r="I765" t="inlineStr">
        <is>
          <t>852</t>
        </is>
      </c>
      <c r="J765" t="inlineStr">
        <is>
          <t>HL7 ValueSet expand (2026-06-09)</t>
        </is>
      </c>
      <c r="K765" t="inlineStr">
        <is>
          <t>false</t>
        </is>
      </c>
    </row>
    <row r="766">
      <c r="A766" t="inlineStr">
        <is>
          <t>Patient.race</t>
        </is>
      </c>
      <c r="B766" t="inlineStr">
        <is>
          <t>urn:oid:2.16.840.1.113883.6.238</t>
        </is>
      </c>
      <c r="C766" t="inlineStr">
        <is>
          <t>1937-2</t>
        </is>
      </c>
      <c r="D766" t="inlineStr">
        <is>
          <t>Napakiak</t>
        </is>
      </c>
      <c r="E766" t="inlineStr">
        <is>
          <t>detailed</t>
        </is>
      </c>
      <c r="F766" t="inlineStr">
        <is>
          <t>primary</t>
        </is>
      </c>
      <c r="G766" t="inlineStr">
        <is>
          <t>required</t>
        </is>
      </c>
      <c r="H766" t="inlineStr">
        <is>
          <t>true</t>
        </is>
      </c>
      <c r="I766" t="inlineStr">
        <is>
          <t>853</t>
        </is>
      </c>
      <c r="J766" t="inlineStr">
        <is>
          <t>HL7 ValueSet expand (2026-06-09)</t>
        </is>
      </c>
      <c r="K766" t="inlineStr">
        <is>
          <t>false</t>
        </is>
      </c>
    </row>
    <row r="767">
      <c r="A767" t="inlineStr">
        <is>
          <t>Patient.race</t>
        </is>
      </c>
      <c r="B767" t="inlineStr">
        <is>
          <t>urn:oid:2.16.840.1.113883.6.238</t>
        </is>
      </c>
      <c r="C767" t="inlineStr">
        <is>
          <t>1938-0</t>
        </is>
      </c>
      <c r="D767" t="inlineStr">
        <is>
          <t>Napaskiak</t>
        </is>
      </c>
      <c r="E767" t="inlineStr">
        <is>
          <t>detailed</t>
        </is>
      </c>
      <c r="F767" t="inlineStr">
        <is>
          <t>primary</t>
        </is>
      </c>
      <c r="G767" t="inlineStr">
        <is>
          <t>required</t>
        </is>
      </c>
      <c r="H767" t="inlineStr">
        <is>
          <t>true</t>
        </is>
      </c>
      <c r="I767" t="inlineStr">
        <is>
          <t>854</t>
        </is>
      </c>
      <c r="J767" t="inlineStr">
        <is>
          <t>HL7 ValueSet expand (2026-06-09)</t>
        </is>
      </c>
      <c r="K767" t="inlineStr">
        <is>
          <t>false</t>
        </is>
      </c>
    </row>
    <row r="768">
      <c r="A768" t="inlineStr">
        <is>
          <t>Patient.race</t>
        </is>
      </c>
      <c r="B768" t="inlineStr">
        <is>
          <t>urn:oid:2.16.840.1.113883.6.238</t>
        </is>
      </c>
      <c r="C768" t="inlineStr">
        <is>
          <t>1939-8</t>
        </is>
      </c>
      <c r="D768" t="inlineStr">
        <is>
          <t>Newhalen</t>
        </is>
      </c>
      <c r="E768" t="inlineStr">
        <is>
          <t>detailed</t>
        </is>
      </c>
      <c r="F768" t="inlineStr">
        <is>
          <t>primary</t>
        </is>
      </c>
      <c r="G768" t="inlineStr">
        <is>
          <t>required</t>
        </is>
      </c>
      <c r="H768" t="inlineStr">
        <is>
          <t>true</t>
        </is>
      </c>
      <c r="I768" t="inlineStr">
        <is>
          <t>855</t>
        </is>
      </c>
      <c r="J768" t="inlineStr">
        <is>
          <t>HL7 ValueSet expand (2026-06-09)</t>
        </is>
      </c>
      <c r="K768" t="inlineStr">
        <is>
          <t>false</t>
        </is>
      </c>
    </row>
    <row r="769">
      <c r="A769" t="inlineStr">
        <is>
          <t>Patient.race</t>
        </is>
      </c>
      <c r="B769" t="inlineStr">
        <is>
          <t>urn:oid:2.16.840.1.113883.6.238</t>
        </is>
      </c>
      <c r="C769" t="inlineStr">
        <is>
          <t>1940-6</t>
        </is>
      </c>
      <c r="D769" t="inlineStr">
        <is>
          <t>New Stuyahok</t>
        </is>
      </c>
      <c r="E769" t="inlineStr">
        <is>
          <t>detailed</t>
        </is>
      </c>
      <c r="F769" t="inlineStr">
        <is>
          <t>primary</t>
        </is>
      </c>
      <c r="G769" t="inlineStr">
        <is>
          <t>required</t>
        </is>
      </c>
      <c r="H769" t="inlineStr">
        <is>
          <t>true</t>
        </is>
      </c>
      <c r="I769" t="inlineStr">
        <is>
          <t>856</t>
        </is>
      </c>
      <c r="J769" t="inlineStr">
        <is>
          <t>HL7 ValueSet expand (2026-06-09)</t>
        </is>
      </c>
      <c r="K769" t="inlineStr">
        <is>
          <t>false</t>
        </is>
      </c>
    </row>
    <row r="770">
      <c r="A770" t="inlineStr">
        <is>
          <t>Patient.race</t>
        </is>
      </c>
      <c r="B770" t="inlineStr">
        <is>
          <t>urn:oid:2.16.840.1.113883.6.238</t>
        </is>
      </c>
      <c r="C770" t="inlineStr">
        <is>
          <t>1941-4</t>
        </is>
      </c>
      <c r="D770" t="inlineStr">
        <is>
          <t>Newtok</t>
        </is>
      </c>
      <c r="E770" t="inlineStr">
        <is>
          <t>detailed</t>
        </is>
      </c>
      <c r="F770" t="inlineStr">
        <is>
          <t>primary</t>
        </is>
      </c>
      <c r="G770" t="inlineStr">
        <is>
          <t>required</t>
        </is>
      </c>
      <c r="H770" t="inlineStr">
        <is>
          <t>true</t>
        </is>
      </c>
      <c r="I770" t="inlineStr">
        <is>
          <t>857</t>
        </is>
      </c>
      <c r="J770" t="inlineStr">
        <is>
          <t>HL7 ValueSet expand (2026-06-09)</t>
        </is>
      </c>
      <c r="K770" t="inlineStr">
        <is>
          <t>false</t>
        </is>
      </c>
    </row>
    <row r="771">
      <c r="A771" t="inlineStr">
        <is>
          <t>Patient.race</t>
        </is>
      </c>
      <c r="B771" t="inlineStr">
        <is>
          <t>urn:oid:2.16.840.1.113883.6.238</t>
        </is>
      </c>
      <c r="C771" t="inlineStr">
        <is>
          <t>1942-2</t>
        </is>
      </c>
      <c r="D771" t="inlineStr">
        <is>
          <t>Nightmute</t>
        </is>
      </c>
      <c r="E771" t="inlineStr">
        <is>
          <t>detailed</t>
        </is>
      </c>
      <c r="F771" t="inlineStr">
        <is>
          <t>primary</t>
        </is>
      </c>
      <c r="G771" t="inlineStr">
        <is>
          <t>required</t>
        </is>
      </c>
      <c r="H771" t="inlineStr">
        <is>
          <t>true</t>
        </is>
      </c>
      <c r="I771" t="inlineStr">
        <is>
          <t>858</t>
        </is>
      </c>
      <c r="J771" t="inlineStr">
        <is>
          <t>HL7 ValueSet expand (2026-06-09)</t>
        </is>
      </c>
      <c r="K771" t="inlineStr">
        <is>
          <t>false</t>
        </is>
      </c>
    </row>
    <row r="772">
      <c r="A772" t="inlineStr">
        <is>
          <t>Patient.race</t>
        </is>
      </c>
      <c r="B772" t="inlineStr">
        <is>
          <t>urn:oid:2.16.840.1.113883.6.238</t>
        </is>
      </c>
      <c r="C772" t="inlineStr">
        <is>
          <t>1943-0</t>
        </is>
      </c>
      <c r="D772" t="inlineStr">
        <is>
          <t>Nunapitchukv</t>
        </is>
      </c>
      <c r="E772" t="inlineStr">
        <is>
          <t>detailed</t>
        </is>
      </c>
      <c r="F772" t="inlineStr">
        <is>
          <t>primary</t>
        </is>
      </c>
      <c r="G772" t="inlineStr">
        <is>
          <t>required</t>
        </is>
      </c>
      <c r="H772" t="inlineStr">
        <is>
          <t>true</t>
        </is>
      </c>
      <c r="I772" t="inlineStr">
        <is>
          <t>859</t>
        </is>
      </c>
      <c r="J772" t="inlineStr">
        <is>
          <t>HL7 ValueSet expand (2026-06-09)</t>
        </is>
      </c>
      <c r="K772" t="inlineStr">
        <is>
          <t>false</t>
        </is>
      </c>
    </row>
    <row r="773">
      <c r="A773" t="inlineStr">
        <is>
          <t>Patient.race</t>
        </is>
      </c>
      <c r="B773" t="inlineStr">
        <is>
          <t>urn:oid:2.16.840.1.113883.6.238</t>
        </is>
      </c>
      <c r="C773" t="inlineStr">
        <is>
          <t>1944-8</t>
        </is>
      </c>
      <c r="D773" t="inlineStr">
        <is>
          <t>Oscarville</t>
        </is>
      </c>
      <c r="E773" t="inlineStr">
        <is>
          <t>detailed</t>
        </is>
      </c>
      <c r="F773" t="inlineStr">
        <is>
          <t>primary</t>
        </is>
      </c>
      <c r="G773" t="inlineStr">
        <is>
          <t>required</t>
        </is>
      </c>
      <c r="H773" t="inlineStr">
        <is>
          <t>true</t>
        </is>
      </c>
      <c r="I773" t="inlineStr">
        <is>
          <t>860</t>
        </is>
      </c>
      <c r="J773" t="inlineStr">
        <is>
          <t>HL7 ValueSet expand (2026-06-09)</t>
        </is>
      </c>
      <c r="K773" t="inlineStr">
        <is>
          <t>false</t>
        </is>
      </c>
    </row>
    <row r="774">
      <c r="A774" t="inlineStr">
        <is>
          <t>Patient.race</t>
        </is>
      </c>
      <c r="B774" t="inlineStr">
        <is>
          <t>urn:oid:2.16.840.1.113883.6.238</t>
        </is>
      </c>
      <c r="C774" t="inlineStr">
        <is>
          <t>1945-5</t>
        </is>
      </c>
      <c r="D774" t="inlineStr">
        <is>
          <t>Pilot Station</t>
        </is>
      </c>
      <c r="E774" t="inlineStr">
        <is>
          <t>detailed</t>
        </is>
      </c>
      <c r="F774" t="inlineStr">
        <is>
          <t>primary</t>
        </is>
      </c>
      <c r="G774" t="inlineStr">
        <is>
          <t>required</t>
        </is>
      </c>
      <c r="H774" t="inlineStr">
        <is>
          <t>true</t>
        </is>
      </c>
      <c r="I774" t="inlineStr">
        <is>
          <t>861</t>
        </is>
      </c>
      <c r="J774" t="inlineStr">
        <is>
          <t>HL7 ValueSet expand (2026-06-09)</t>
        </is>
      </c>
      <c r="K774" t="inlineStr">
        <is>
          <t>false</t>
        </is>
      </c>
    </row>
    <row r="775">
      <c r="A775" t="inlineStr">
        <is>
          <t>Patient.race</t>
        </is>
      </c>
      <c r="B775" t="inlineStr">
        <is>
          <t>urn:oid:2.16.840.1.113883.6.238</t>
        </is>
      </c>
      <c r="C775" t="inlineStr">
        <is>
          <t>1946-3</t>
        </is>
      </c>
      <c r="D775" t="inlineStr">
        <is>
          <t>Pitkas Point</t>
        </is>
      </c>
      <c r="E775" t="inlineStr">
        <is>
          <t>detailed</t>
        </is>
      </c>
      <c r="F775" t="inlineStr">
        <is>
          <t>primary</t>
        </is>
      </c>
      <c r="G775" t="inlineStr">
        <is>
          <t>required</t>
        </is>
      </c>
      <c r="H775" t="inlineStr">
        <is>
          <t>true</t>
        </is>
      </c>
      <c r="I775" t="inlineStr">
        <is>
          <t>862</t>
        </is>
      </c>
      <c r="J775" t="inlineStr">
        <is>
          <t>HL7 ValueSet expand (2026-06-09)</t>
        </is>
      </c>
      <c r="K775" t="inlineStr">
        <is>
          <t>false</t>
        </is>
      </c>
    </row>
    <row r="776">
      <c r="A776" t="inlineStr">
        <is>
          <t>Patient.race</t>
        </is>
      </c>
      <c r="B776" t="inlineStr">
        <is>
          <t>urn:oid:2.16.840.1.113883.6.238</t>
        </is>
      </c>
      <c r="C776" t="inlineStr">
        <is>
          <t>1947-1</t>
        </is>
      </c>
      <c r="D776" t="inlineStr">
        <is>
          <t>Platinum</t>
        </is>
      </c>
      <c r="E776" t="inlineStr">
        <is>
          <t>detailed</t>
        </is>
      </c>
      <c r="F776" t="inlineStr">
        <is>
          <t>primary</t>
        </is>
      </c>
      <c r="G776" t="inlineStr">
        <is>
          <t>required</t>
        </is>
      </c>
      <c r="H776" t="inlineStr">
        <is>
          <t>true</t>
        </is>
      </c>
      <c r="I776" t="inlineStr">
        <is>
          <t>863</t>
        </is>
      </c>
      <c r="J776" t="inlineStr">
        <is>
          <t>HL7 ValueSet expand (2026-06-09)</t>
        </is>
      </c>
      <c r="K776" t="inlineStr">
        <is>
          <t>false</t>
        </is>
      </c>
    </row>
    <row r="777">
      <c r="A777" t="inlineStr">
        <is>
          <t>Patient.race</t>
        </is>
      </c>
      <c r="B777" t="inlineStr">
        <is>
          <t>urn:oid:2.16.840.1.113883.6.238</t>
        </is>
      </c>
      <c r="C777" t="inlineStr">
        <is>
          <t>1948-9</t>
        </is>
      </c>
      <c r="D777" t="inlineStr">
        <is>
          <t>Portage Creek</t>
        </is>
      </c>
      <c r="E777" t="inlineStr">
        <is>
          <t>detailed</t>
        </is>
      </c>
      <c r="F777" t="inlineStr">
        <is>
          <t>primary</t>
        </is>
      </c>
      <c r="G777" t="inlineStr">
        <is>
          <t>required</t>
        </is>
      </c>
      <c r="H777" t="inlineStr">
        <is>
          <t>true</t>
        </is>
      </c>
      <c r="I777" t="inlineStr">
        <is>
          <t>864</t>
        </is>
      </c>
      <c r="J777" t="inlineStr">
        <is>
          <t>HL7 ValueSet expand (2026-06-09)</t>
        </is>
      </c>
      <c r="K777" t="inlineStr">
        <is>
          <t>false</t>
        </is>
      </c>
    </row>
    <row r="778">
      <c r="A778" t="inlineStr">
        <is>
          <t>Patient.race</t>
        </is>
      </c>
      <c r="B778" t="inlineStr">
        <is>
          <t>urn:oid:2.16.840.1.113883.6.238</t>
        </is>
      </c>
      <c r="C778" t="inlineStr">
        <is>
          <t>1949-7</t>
        </is>
      </c>
      <c r="D778" t="inlineStr">
        <is>
          <t>Quinhagak</t>
        </is>
      </c>
      <c r="E778" t="inlineStr">
        <is>
          <t>detailed</t>
        </is>
      </c>
      <c r="F778" t="inlineStr">
        <is>
          <t>primary</t>
        </is>
      </c>
      <c r="G778" t="inlineStr">
        <is>
          <t>required</t>
        </is>
      </c>
      <c r="H778" t="inlineStr">
        <is>
          <t>true</t>
        </is>
      </c>
      <c r="I778" t="inlineStr">
        <is>
          <t>865</t>
        </is>
      </c>
      <c r="J778" t="inlineStr">
        <is>
          <t>HL7 ValueSet expand (2026-06-09)</t>
        </is>
      </c>
      <c r="K778" t="inlineStr">
        <is>
          <t>false</t>
        </is>
      </c>
    </row>
    <row r="779">
      <c r="A779" t="inlineStr">
        <is>
          <t>Patient.race</t>
        </is>
      </c>
      <c r="B779" t="inlineStr">
        <is>
          <t>urn:oid:2.16.840.1.113883.6.238</t>
        </is>
      </c>
      <c r="C779" t="inlineStr">
        <is>
          <t>1950-5</t>
        </is>
      </c>
      <c r="D779" t="inlineStr">
        <is>
          <t>Red Devil</t>
        </is>
      </c>
      <c r="E779" t="inlineStr">
        <is>
          <t>detailed</t>
        </is>
      </c>
      <c r="F779" t="inlineStr">
        <is>
          <t>primary</t>
        </is>
      </c>
      <c r="G779" t="inlineStr">
        <is>
          <t>required</t>
        </is>
      </c>
      <c r="H779" t="inlineStr">
        <is>
          <t>true</t>
        </is>
      </c>
      <c r="I779" t="inlineStr">
        <is>
          <t>866</t>
        </is>
      </c>
      <c r="J779" t="inlineStr">
        <is>
          <t>HL7 ValueSet expand (2026-06-09)</t>
        </is>
      </c>
      <c r="K779" t="inlineStr">
        <is>
          <t>false</t>
        </is>
      </c>
    </row>
    <row r="780">
      <c r="A780" t="inlineStr">
        <is>
          <t>Patient.race</t>
        </is>
      </c>
      <c r="B780" t="inlineStr">
        <is>
          <t>urn:oid:2.16.840.1.113883.6.238</t>
        </is>
      </c>
      <c r="C780" t="inlineStr">
        <is>
          <t>1951-3</t>
        </is>
      </c>
      <c r="D780" t="inlineStr">
        <is>
          <t>St. Michael</t>
        </is>
      </c>
      <c r="E780" t="inlineStr">
        <is>
          <t>detailed</t>
        </is>
      </c>
      <c r="F780" t="inlineStr">
        <is>
          <t>primary</t>
        </is>
      </c>
      <c r="G780" t="inlineStr">
        <is>
          <t>required</t>
        </is>
      </c>
      <c r="H780" t="inlineStr">
        <is>
          <t>true</t>
        </is>
      </c>
      <c r="I780" t="inlineStr">
        <is>
          <t>867</t>
        </is>
      </c>
      <c r="J780" t="inlineStr">
        <is>
          <t>HL7 ValueSet expand (2026-06-09)</t>
        </is>
      </c>
      <c r="K780" t="inlineStr">
        <is>
          <t>false</t>
        </is>
      </c>
    </row>
    <row r="781">
      <c r="A781" t="inlineStr">
        <is>
          <t>Patient.race</t>
        </is>
      </c>
      <c r="B781" t="inlineStr">
        <is>
          <t>urn:oid:2.16.840.1.113883.6.238</t>
        </is>
      </c>
      <c r="C781" t="inlineStr">
        <is>
          <t>1952-1</t>
        </is>
      </c>
      <c r="D781" t="inlineStr">
        <is>
          <t>Scammon Bay</t>
        </is>
      </c>
      <c r="E781" t="inlineStr">
        <is>
          <t>detailed</t>
        </is>
      </c>
      <c r="F781" t="inlineStr">
        <is>
          <t>primary</t>
        </is>
      </c>
      <c r="G781" t="inlineStr">
        <is>
          <t>required</t>
        </is>
      </c>
      <c r="H781" t="inlineStr">
        <is>
          <t>true</t>
        </is>
      </c>
      <c r="I781" t="inlineStr">
        <is>
          <t>868</t>
        </is>
      </c>
      <c r="J781" t="inlineStr">
        <is>
          <t>HL7 ValueSet expand (2026-06-09)</t>
        </is>
      </c>
      <c r="K781" t="inlineStr">
        <is>
          <t>false</t>
        </is>
      </c>
    </row>
    <row r="782">
      <c r="A782" t="inlineStr">
        <is>
          <t>Patient.race</t>
        </is>
      </c>
      <c r="B782" t="inlineStr">
        <is>
          <t>urn:oid:2.16.840.1.113883.6.238</t>
        </is>
      </c>
      <c r="C782" t="inlineStr">
        <is>
          <t>1953-9</t>
        </is>
      </c>
      <c r="D782" t="inlineStr">
        <is>
          <t>Sheldon's Point</t>
        </is>
      </c>
      <c r="E782" t="inlineStr">
        <is>
          <t>detailed</t>
        </is>
      </c>
      <c r="F782" t="inlineStr">
        <is>
          <t>primary</t>
        </is>
      </c>
      <c r="G782" t="inlineStr">
        <is>
          <t>required</t>
        </is>
      </c>
      <c r="H782" t="inlineStr">
        <is>
          <t>true</t>
        </is>
      </c>
      <c r="I782" t="inlineStr">
        <is>
          <t>869</t>
        </is>
      </c>
      <c r="J782" t="inlineStr">
        <is>
          <t>HL7 ValueSet expand (2026-06-09)</t>
        </is>
      </c>
      <c r="K782" t="inlineStr">
        <is>
          <t>false</t>
        </is>
      </c>
    </row>
    <row r="783">
      <c r="A783" t="inlineStr">
        <is>
          <t>Patient.race</t>
        </is>
      </c>
      <c r="B783" t="inlineStr">
        <is>
          <t>urn:oid:2.16.840.1.113883.6.238</t>
        </is>
      </c>
      <c r="C783" t="inlineStr">
        <is>
          <t>1954-7</t>
        </is>
      </c>
      <c r="D783" t="inlineStr">
        <is>
          <t>Sleetmute</t>
        </is>
      </c>
      <c r="E783" t="inlineStr">
        <is>
          <t>detailed</t>
        </is>
      </c>
      <c r="F783" t="inlineStr">
        <is>
          <t>primary</t>
        </is>
      </c>
      <c r="G783" t="inlineStr">
        <is>
          <t>required</t>
        </is>
      </c>
      <c r="H783" t="inlineStr">
        <is>
          <t>true</t>
        </is>
      </c>
      <c r="I783" t="inlineStr">
        <is>
          <t>870</t>
        </is>
      </c>
      <c r="J783" t="inlineStr">
        <is>
          <t>HL7 ValueSet expand (2026-06-09)</t>
        </is>
      </c>
      <c r="K783" t="inlineStr">
        <is>
          <t>false</t>
        </is>
      </c>
    </row>
    <row r="784">
      <c r="A784" t="inlineStr">
        <is>
          <t>Patient.race</t>
        </is>
      </c>
      <c r="B784" t="inlineStr">
        <is>
          <t>urn:oid:2.16.840.1.113883.6.238</t>
        </is>
      </c>
      <c r="C784" t="inlineStr">
        <is>
          <t>1955-4</t>
        </is>
      </c>
      <c r="D784" t="inlineStr">
        <is>
          <t>Stebbins</t>
        </is>
      </c>
      <c r="E784" t="inlineStr">
        <is>
          <t>detailed</t>
        </is>
      </c>
      <c r="F784" t="inlineStr">
        <is>
          <t>primary</t>
        </is>
      </c>
      <c r="G784" t="inlineStr">
        <is>
          <t>required</t>
        </is>
      </c>
      <c r="H784" t="inlineStr">
        <is>
          <t>true</t>
        </is>
      </c>
      <c r="I784" t="inlineStr">
        <is>
          <t>871</t>
        </is>
      </c>
      <c r="J784" t="inlineStr">
        <is>
          <t>HL7 ValueSet expand (2026-06-09)</t>
        </is>
      </c>
      <c r="K784" t="inlineStr">
        <is>
          <t>false</t>
        </is>
      </c>
    </row>
    <row r="785">
      <c r="A785" t="inlineStr">
        <is>
          <t>Patient.race</t>
        </is>
      </c>
      <c r="B785" t="inlineStr">
        <is>
          <t>urn:oid:2.16.840.1.113883.6.238</t>
        </is>
      </c>
      <c r="C785" t="inlineStr">
        <is>
          <t>1956-2</t>
        </is>
      </c>
      <c r="D785" t="inlineStr">
        <is>
          <t>Togiak</t>
        </is>
      </c>
      <c r="E785" t="inlineStr">
        <is>
          <t>detailed</t>
        </is>
      </c>
      <c r="F785" t="inlineStr">
        <is>
          <t>primary</t>
        </is>
      </c>
      <c r="G785" t="inlineStr">
        <is>
          <t>required</t>
        </is>
      </c>
      <c r="H785" t="inlineStr">
        <is>
          <t>true</t>
        </is>
      </c>
      <c r="I785" t="inlineStr">
        <is>
          <t>872</t>
        </is>
      </c>
      <c r="J785" t="inlineStr">
        <is>
          <t>HL7 ValueSet expand (2026-06-09)</t>
        </is>
      </c>
      <c r="K785" t="inlineStr">
        <is>
          <t>false</t>
        </is>
      </c>
    </row>
    <row r="786">
      <c r="A786" t="inlineStr">
        <is>
          <t>Patient.race</t>
        </is>
      </c>
      <c r="B786" t="inlineStr">
        <is>
          <t>urn:oid:2.16.840.1.113883.6.238</t>
        </is>
      </c>
      <c r="C786" t="inlineStr">
        <is>
          <t>1957-0</t>
        </is>
      </c>
      <c r="D786" t="inlineStr">
        <is>
          <t>Toksook</t>
        </is>
      </c>
      <c r="E786" t="inlineStr">
        <is>
          <t>detailed</t>
        </is>
      </c>
      <c r="F786" t="inlineStr">
        <is>
          <t>primary</t>
        </is>
      </c>
      <c r="G786" t="inlineStr">
        <is>
          <t>required</t>
        </is>
      </c>
      <c r="H786" t="inlineStr">
        <is>
          <t>true</t>
        </is>
      </c>
      <c r="I786" t="inlineStr">
        <is>
          <t>873</t>
        </is>
      </c>
      <c r="J786" t="inlineStr">
        <is>
          <t>HL7 ValueSet expand (2026-06-09)</t>
        </is>
      </c>
      <c r="K786" t="inlineStr">
        <is>
          <t>false</t>
        </is>
      </c>
    </row>
    <row r="787">
      <c r="A787" t="inlineStr">
        <is>
          <t>Patient.race</t>
        </is>
      </c>
      <c r="B787" t="inlineStr">
        <is>
          <t>urn:oid:2.16.840.1.113883.6.238</t>
        </is>
      </c>
      <c r="C787" t="inlineStr">
        <is>
          <t>1958-8</t>
        </is>
      </c>
      <c r="D787" t="inlineStr">
        <is>
          <t>Tulukskak</t>
        </is>
      </c>
      <c r="E787" t="inlineStr">
        <is>
          <t>detailed</t>
        </is>
      </c>
      <c r="F787" t="inlineStr">
        <is>
          <t>primary</t>
        </is>
      </c>
      <c r="G787" t="inlineStr">
        <is>
          <t>required</t>
        </is>
      </c>
      <c r="H787" t="inlineStr">
        <is>
          <t>true</t>
        </is>
      </c>
      <c r="I787" t="inlineStr">
        <is>
          <t>874</t>
        </is>
      </c>
      <c r="J787" t="inlineStr">
        <is>
          <t>HL7 ValueSet expand (2026-06-09)</t>
        </is>
      </c>
      <c r="K787" t="inlineStr">
        <is>
          <t>false</t>
        </is>
      </c>
    </row>
    <row r="788">
      <c r="A788" t="inlineStr">
        <is>
          <t>Patient.race</t>
        </is>
      </c>
      <c r="B788" t="inlineStr">
        <is>
          <t>urn:oid:2.16.840.1.113883.6.238</t>
        </is>
      </c>
      <c r="C788" t="inlineStr">
        <is>
          <t>1959-6</t>
        </is>
      </c>
      <c r="D788" t="inlineStr">
        <is>
          <t>Tuntutuliak</t>
        </is>
      </c>
      <c r="E788" t="inlineStr">
        <is>
          <t>detailed</t>
        </is>
      </c>
      <c r="F788" t="inlineStr">
        <is>
          <t>primary</t>
        </is>
      </c>
      <c r="G788" t="inlineStr">
        <is>
          <t>required</t>
        </is>
      </c>
      <c r="H788" t="inlineStr">
        <is>
          <t>true</t>
        </is>
      </c>
      <c r="I788" t="inlineStr">
        <is>
          <t>875</t>
        </is>
      </c>
      <c r="J788" t="inlineStr">
        <is>
          <t>HL7 ValueSet expand (2026-06-09)</t>
        </is>
      </c>
      <c r="K788" t="inlineStr">
        <is>
          <t>false</t>
        </is>
      </c>
    </row>
    <row r="789">
      <c r="A789" t="inlineStr">
        <is>
          <t>Patient.race</t>
        </is>
      </c>
      <c r="B789" t="inlineStr">
        <is>
          <t>urn:oid:2.16.840.1.113883.6.238</t>
        </is>
      </c>
      <c r="C789" t="inlineStr">
        <is>
          <t>1960-4</t>
        </is>
      </c>
      <c r="D789" t="inlineStr">
        <is>
          <t>Tununak</t>
        </is>
      </c>
      <c r="E789" t="inlineStr">
        <is>
          <t>detailed</t>
        </is>
      </c>
      <c r="F789" t="inlineStr">
        <is>
          <t>primary</t>
        </is>
      </c>
      <c r="G789" t="inlineStr">
        <is>
          <t>required</t>
        </is>
      </c>
      <c r="H789" t="inlineStr">
        <is>
          <t>true</t>
        </is>
      </c>
      <c r="I789" t="inlineStr">
        <is>
          <t>876</t>
        </is>
      </c>
      <c r="J789" t="inlineStr">
        <is>
          <t>HL7 ValueSet expand (2026-06-09)</t>
        </is>
      </c>
      <c r="K789" t="inlineStr">
        <is>
          <t>false</t>
        </is>
      </c>
    </row>
    <row r="790">
      <c r="A790" t="inlineStr">
        <is>
          <t>Patient.race</t>
        </is>
      </c>
      <c r="B790" t="inlineStr">
        <is>
          <t>urn:oid:2.16.840.1.113883.6.238</t>
        </is>
      </c>
      <c r="C790" t="inlineStr">
        <is>
          <t>1961-2</t>
        </is>
      </c>
      <c r="D790" t="inlineStr">
        <is>
          <t>Twin Hills</t>
        </is>
      </c>
      <c r="E790" t="inlineStr">
        <is>
          <t>detailed</t>
        </is>
      </c>
      <c r="F790" t="inlineStr">
        <is>
          <t>primary</t>
        </is>
      </c>
      <c r="G790" t="inlineStr">
        <is>
          <t>required</t>
        </is>
      </c>
      <c r="H790" t="inlineStr">
        <is>
          <t>true</t>
        </is>
      </c>
      <c r="I790" t="inlineStr">
        <is>
          <t>877</t>
        </is>
      </c>
      <c r="J790" t="inlineStr">
        <is>
          <t>HL7 ValueSet expand (2026-06-09)</t>
        </is>
      </c>
      <c r="K790" t="inlineStr">
        <is>
          <t>false</t>
        </is>
      </c>
    </row>
    <row r="791">
      <c r="A791" t="inlineStr">
        <is>
          <t>Patient.race</t>
        </is>
      </c>
      <c r="B791" t="inlineStr">
        <is>
          <t>urn:oid:2.16.840.1.113883.6.238</t>
        </is>
      </c>
      <c r="C791" t="inlineStr">
        <is>
          <t>1962-0</t>
        </is>
      </c>
      <c r="D791" t="inlineStr">
        <is>
          <t>Georgetown</t>
        </is>
      </c>
      <c r="E791" t="inlineStr">
        <is>
          <t>detailed</t>
        </is>
      </c>
      <c r="F791" t="inlineStr">
        <is>
          <t>primary</t>
        </is>
      </c>
      <c r="G791" t="inlineStr">
        <is>
          <t>required</t>
        </is>
      </c>
      <c r="H791" t="inlineStr">
        <is>
          <t>true</t>
        </is>
      </c>
      <c r="I791" t="inlineStr">
        <is>
          <t>878</t>
        </is>
      </c>
      <c r="J791" t="inlineStr">
        <is>
          <t>HL7 ValueSet expand (2026-06-09)</t>
        </is>
      </c>
      <c r="K791" t="inlineStr">
        <is>
          <t>false</t>
        </is>
      </c>
    </row>
    <row r="792">
      <c r="A792" t="inlineStr">
        <is>
          <t>Patient.race</t>
        </is>
      </c>
      <c r="B792" t="inlineStr">
        <is>
          <t>urn:oid:2.16.840.1.113883.6.238</t>
        </is>
      </c>
      <c r="C792" t="inlineStr">
        <is>
          <t>1963-8</t>
        </is>
      </c>
      <c r="D792" t="inlineStr">
        <is>
          <t>St. Mary's</t>
        </is>
      </c>
      <c r="E792" t="inlineStr">
        <is>
          <t>detailed</t>
        </is>
      </c>
      <c r="F792" t="inlineStr">
        <is>
          <t>primary</t>
        </is>
      </c>
      <c r="G792" t="inlineStr">
        <is>
          <t>required</t>
        </is>
      </c>
      <c r="H792" t="inlineStr">
        <is>
          <t>true</t>
        </is>
      </c>
      <c r="I792" t="inlineStr">
        <is>
          <t>879</t>
        </is>
      </c>
      <c r="J792" t="inlineStr">
        <is>
          <t>HL7 ValueSet expand (2026-06-09)</t>
        </is>
      </c>
      <c r="K792" t="inlineStr">
        <is>
          <t>false</t>
        </is>
      </c>
    </row>
    <row r="793">
      <c r="A793" t="inlineStr">
        <is>
          <t>Patient.race</t>
        </is>
      </c>
      <c r="B793" t="inlineStr">
        <is>
          <t>urn:oid:2.16.840.1.113883.6.238</t>
        </is>
      </c>
      <c r="C793" t="inlineStr">
        <is>
          <t>1964-6</t>
        </is>
      </c>
      <c r="D793" t="inlineStr">
        <is>
          <t>Umkumiate</t>
        </is>
      </c>
      <c r="E793" t="inlineStr">
        <is>
          <t>detailed</t>
        </is>
      </c>
      <c r="F793" t="inlineStr">
        <is>
          <t>primary</t>
        </is>
      </c>
      <c r="G793" t="inlineStr">
        <is>
          <t>required</t>
        </is>
      </c>
      <c r="H793" t="inlineStr">
        <is>
          <t>true</t>
        </is>
      </c>
      <c r="I793" t="inlineStr">
        <is>
          <t>880</t>
        </is>
      </c>
      <c r="J793" t="inlineStr">
        <is>
          <t>HL7 ValueSet expand (2026-06-09)</t>
        </is>
      </c>
      <c r="K793" t="inlineStr">
        <is>
          <t>false</t>
        </is>
      </c>
    </row>
    <row r="794">
      <c r="A794" t="inlineStr">
        <is>
          <t>Patient.race</t>
        </is>
      </c>
      <c r="B794" t="inlineStr">
        <is>
          <t>urn:oid:2.16.840.1.113883.6.238</t>
        </is>
      </c>
      <c r="C794" t="inlineStr">
        <is>
          <t>1966-1</t>
        </is>
      </c>
      <c r="D794" t="inlineStr">
        <is>
          <t>Aleut</t>
        </is>
      </c>
      <c r="E794" t="inlineStr">
        <is>
          <t>detailed</t>
        </is>
      </c>
      <c r="F794" t="inlineStr">
        <is>
          <t>primary</t>
        </is>
      </c>
      <c r="G794" t="inlineStr">
        <is>
          <t>required</t>
        </is>
      </c>
      <c r="H794" t="inlineStr">
        <is>
          <t>true</t>
        </is>
      </c>
      <c r="I794" t="inlineStr">
        <is>
          <t>881</t>
        </is>
      </c>
      <c r="J794" t="inlineStr">
        <is>
          <t>HL7 ValueSet expand (2026-06-09)</t>
        </is>
      </c>
      <c r="K794" t="inlineStr">
        <is>
          <t>false</t>
        </is>
      </c>
    </row>
    <row r="795">
      <c r="A795" t="inlineStr">
        <is>
          <t>Patient.race</t>
        </is>
      </c>
      <c r="B795" t="inlineStr">
        <is>
          <t>urn:oid:2.16.840.1.113883.6.238</t>
        </is>
      </c>
      <c r="C795" t="inlineStr">
        <is>
          <t>1968-7</t>
        </is>
      </c>
      <c r="D795" t="inlineStr">
        <is>
          <t>Alutiiq Aleut</t>
        </is>
      </c>
      <c r="E795" t="inlineStr">
        <is>
          <t>detailed</t>
        </is>
      </c>
      <c r="F795" t="inlineStr">
        <is>
          <t>primary</t>
        </is>
      </c>
      <c r="G795" t="inlineStr">
        <is>
          <t>required</t>
        </is>
      </c>
      <c r="H795" t="inlineStr">
        <is>
          <t>true</t>
        </is>
      </c>
      <c r="I795" t="inlineStr">
        <is>
          <t>882</t>
        </is>
      </c>
      <c r="J795" t="inlineStr">
        <is>
          <t>HL7 ValueSet expand (2026-06-09)</t>
        </is>
      </c>
      <c r="K795" t="inlineStr">
        <is>
          <t>false</t>
        </is>
      </c>
    </row>
    <row r="796">
      <c r="A796" t="inlineStr">
        <is>
          <t>Patient.race</t>
        </is>
      </c>
      <c r="B796" t="inlineStr">
        <is>
          <t>urn:oid:2.16.840.1.113883.6.238</t>
        </is>
      </c>
      <c r="C796" t="inlineStr">
        <is>
          <t>1969-5</t>
        </is>
      </c>
      <c r="D796" t="inlineStr">
        <is>
          <t>Tatitlek</t>
        </is>
      </c>
      <c r="E796" t="inlineStr">
        <is>
          <t>detailed</t>
        </is>
      </c>
      <c r="F796" t="inlineStr">
        <is>
          <t>primary</t>
        </is>
      </c>
      <c r="G796" t="inlineStr">
        <is>
          <t>required</t>
        </is>
      </c>
      <c r="H796" t="inlineStr">
        <is>
          <t>true</t>
        </is>
      </c>
      <c r="I796" t="inlineStr">
        <is>
          <t>883</t>
        </is>
      </c>
      <c r="J796" t="inlineStr">
        <is>
          <t>HL7 ValueSet expand (2026-06-09)</t>
        </is>
      </c>
      <c r="K796" t="inlineStr">
        <is>
          <t>false</t>
        </is>
      </c>
    </row>
    <row r="797">
      <c r="A797" t="inlineStr">
        <is>
          <t>Patient.race</t>
        </is>
      </c>
      <c r="B797" t="inlineStr">
        <is>
          <t>urn:oid:2.16.840.1.113883.6.238</t>
        </is>
      </c>
      <c r="C797" t="inlineStr">
        <is>
          <t>1970-3</t>
        </is>
      </c>
      <c r="D797" t="inlineStr">
        <is>
          <t>Ugashik</t>
        </is>
      </c>
      <c r="E797" t="inlineStr">
        <is>
          <t>detailed</t>
        </is>
      </c>
      <c r="F797" t="inlineStr">
        <is>
          <t>primary</t>
        </is>
      </c>
      <c r="G797" t="inlineStr">
        <is>
          <t>required</t>
        </is>
      </c>
      <c r="H797" t="inlineStr">
        <is>
          <t>true</t>
        </is>
      </c>
      <c r="I797" t="inlineStr">
        <is>
          <t>884</t>
        </is>
      </c>
      <c r="J797" t="inlineStr">
        <is>
          <t>HL7 ValueSet expand (2026-06-09)</t>
        </is>
      </c>
      <c r="K797" t="inlineStr">
        <is>
          <t>false</t>
        </is>
      </c>
    </row>
    <row r="798">
      <c r="A798" t="inlineStr">
        <is>
          <t>Patient.race</t>
        </is>
      </c>
      <c r="B798" t="inlineStr">
        <is>
          <t>urn:oid:2.16.840.1.113883.6.238</t>
        </is>
      </c>
      <c r="C798" t="inlineStr">
        <is>
          <t>1972-9</t>
        </is>
      </c>
      <c r="D798" t="inlineStr">
        <is>
          <t>Bristol Bay Aleut</t>
        </is>
      </c>
      <c r="E798" t="inlineStr">
        <is>
          <t>detailed</t>
        </is>
      </c>
      <c r="F798" t="inlineStr">
        <is>
          <t>primary</t>
        </is>
      </c>
      <c r="G798" t="inlineStr">
        <is>
          <t>required</t>
        </is>
      </c>
      <c r="H798" t="inlineStr">
        <is>
          <t>true</t>
        </is>
      </c>
      <c r="I798" t="inlineStr">
        <is>
          <t>885</t>
        </is>
      </c>
      <c r="J798" t="inlineStr">
        <is>
          <t>HL7 ValueSet expand (2026-06-09)</t>
        </is>
      </c>
      <c r="K798" t="inlineStr">
        <is>
          <t>false</t>
        </is>
      </c>
    </row>
    <row r="799">
      <c r="A799" t="inlineStr">
        <is>
          <t>Patient.race</t>
        </is>
      </c>
      <c r="B799" t="inlineStr">
        <is>
          <t>urn:oid:2.16.840.1.113883.6.238</t>
        </is>
      </c>
      <c r="C799" t="inlineStr">
        <is>
          <t>1973-7</t>
        </is>
      </c>
      <c r="D799" t="inlineStr">
        <is>
          <t>Chignik</t>
        </is>
      </c>
      <c r="E799" t="inlineStr">
        <is>
          <t>detailed</t>
        </is>
      </c>
      <c r="F799" t="inlineStr">
        <is>
          <t>primary</t>
        </is>
      </c>
      <c r="G799" t="inlineStr">
        <is>
          <t>required</t>
        </is>
      </c>
      <c r="H799" t="inlineStr">
        <is>
          <t>true</t>
        </is>
      </c>
      <c r="I799" t="inlineStr">
        <is>
          <t>886</t>
        </is>
      </c>
      <c r="J799" t="inlineStr">
        <is>
          <t>HL7 ValueSet expand (2026-06-09)</t>
        </is>
      </c>
      <c r="K799" t="inlineStr">
        <is>
          <t>false</t>
        </is>
      </c>
    </row>
    <row r="800">
      <c r="A800" t="inlineStr">
        <is>
          <t>Patient.race</t>
        </is>
      </c>
      <c r="B800" t="inlineStr">
        <is>
          <t>urn:oid:2.16.840.1.113883.6.238</t>
        </is>
      </c>
      <c r="C800" t="inlineStr">
        <is>
          <t>1974-5</t>
        </is>
      </c>
      <c r="D800" t="inlineStr">
        <is>
          <t>Chignik Lake</t>
        </is>
      </c>
      <c r="E800" t="inlineStr">
        <is>
          <t>detailed</t>
        </is>
      </c>
      <c r="F800" t="inlineStr">
        <is>
          <t>primary</t>
        </is>
      </c>
      <c r="G800" t="inlineStr">
        <is>
          <t>required</t>
        </is>
      </c>
      <c r="H800" t="inlineStr">
        <is>
          <t>true</t>
        </is>
      </c>
      <c r="I800" t="inlineStr">
        <is>
          <t>887</t>
        </is>
      </c>
      <c r="J800" t="inlineStr">
        <is>
          <t>HL7 ValueSet expand (2026-06-09)</t>
        </is>
      </c>
      <c r="K800" t="inlineStr">
        <is>
          <t>false</t>
        </is>
      </c>
    </row>
    <row r="801">
      <c r="A801" t="inlineStr">
        <is>
          <t>Patient.race</t>
        </is>
      </c>
      <c r="B801" t="inlineStr">
        <is>
          <t>urn:oid:2.16.840.1.113883.6.238</t>
        </is>
      </c>
      <c r="C801" t="inlineStr">
        <is>
          <t>1975-2</t>
        </is>
      </c>
      <c r="D801" t="inlineStr">
        <is>
          <t>Egegik</t>
        </is>
      </c>
      <c r="E801" t="inlineStr">
        <is>
          <t>detailed</t>
        </is>
      </c>
      <c r="F801" t="inlineStr">
        <is>
          <t>primary</t>
        </is>
      </c>
      <c r="G801" t="inlineStr">
        <is>
          <t>required</t>
        </is>
      </c>
      <c r="H801" t="inlineStr">
        <is>
          <t>true</t>
        </is>
      </c>
      <c r="I801" t="inlineStr">
        <is>
          <t>888</t>
        </is>
      </c>
      <c r="J801" t="inlineStr">
        <is>
          <t>HL7 ValueSet expand (2026-06-09)</t>
        </is>
      </c>
      <c r="K801" t="inlineStr">
        <is>
          <t>false</t>
        </is>
      </c>
    </row>
    <row r="802">
      <c r="A802" t="inlineStr">
        <is>
          <t>Patient.race</t>
        </is>
      </c>
      <c r="B802" t="inlineStr">
        <is>
          <t>urn:oid:2.16.840.1.113883.6.238</t>
        </is>
      </c>
      <c r="C802" t="inlineStr">
        <is>
          <t>1976-0</t>
        </is>
      </c>
      <c r="D802" t="inlineStr">
        <is>
          <t>Igiugig</t>
        </is>
      </c>
      <c r="E802" t="inlineStr">
        <is>
          <t>detailed</t>
        </is>
      </c>
      <c r="F802" t="inlineStr">
        <is>
          <t>primary</t>
        </is>
      </c>
      <c r="G802" t="inlineStr">
        <is>
          <t>required</t>
        </is>
      </c>
      <c r="H802" t="inlineStr">
        <is>
          <t>true</t>
        </is>
      </c>
      <c r="I802" t="inlineStr">
        <is>
          <t>889</t>
        </is>
      </c>
      <c r="J802" t="inlineStr">
        <is>
          <t>HL7 ValueSet expand (2026-06-09)</t>
        </is>
      </c>
      <c r="K802" t="inlineStr">
        <is>
          <t>false</t>
        </is>
      </c>
    </row>
    <row r="803">
      <c r="A803" t="inlineStr">
        <is>
          <t>Patient.race</t>
        </is>
      </c>
      <c r="B803" t="inlineStr">
        <is>
          <t>urn:oid:2.16.840.1.113883.6.238</t>
        </is>
      </c>
      <c r="C803" t="inlineStr">
        <is>
          <t>1977-8</t>
        </is>
      </c>
      <c r="D803" t="inlineStr">
        <is>
          <t>Ivanof Bay</t>
        </is>
      </c>
      <c r="E803" t="inlineStr">
        <is>
          <t>detailed</t>
        </is>
      </c>
      <c r="F803" t="inlineStr">
        <is>
          <t>primary</t>
        </is>
      </c>
      <c r="G803" t="inlineStr">
        <is>
          <t>required</t>
        </is>
      </c>
      <c r="H803" t="inlineStr">
        <is>
          <t>true</t>
        </is>
      </c>
      <c r="I803" t="inlineStr">
        <is>
          <t>890</t>
        </is>
      </c>
      <c r="J803" t="inlineStr">
        <is>
          <t>HL7 ValueSet expand (2026-06-09)</t>
        </is>
      </c>
      <c r="K803" t="inlineStr">
        <is>
          <t>false</t>
        </is>
      </c>
    </row>
    <row r="804">
      <c r="A804" t="inlineStr">
        <is>
          <t>Patient.race</t>
        </is>
      </c>
      <c r="B804" t="inlineStr">
        <is>
          <t>urn:oid:2.16.840.1.113883.6.238</t>
        </is>
      </c>
      <c r="C804" t="inlineStr">
        <is>
          <t>1978-6</t>
        </is>
      </c>
      <c r="D804" t="inlineStr">
        <is>
          <t>King Salmon</t>
        </is>
      </c>
      <c r="E804" t="inlineStr">
        <is>
          <t>detailed</t>
        </is>
      </c>
      <c r="F804" t="inlineStr">
        <is>
          <t>primary</t>
        </is>
      </c>
      <c r="G804" t="inlineStr">
        <is>
          <t>required</t>
        </is>
      </c>
      <c r="H804" t="inlineStr">
        <is>
          <t>true</t>
        </is>
      </c>
      <c r="I804" t="inlineStr">
        <is>
          <t>891</t>
        </is>
      </c>
      <c r="J804" t="inlineStr">
        <is>
          <t>HL7 ValueSet expand (2026-06-09)</t>
        </is>
      </c>
      <c r="K804" t="inlineStr">
        <is>
          <t>false</t>
        </is>
      </c>
    </row>
    <row r="805">
      <c r="A805" t="inlineStr">
        <is>
          <t>Patient.race</t>
        </is>
      </c>
      <c r="B805" t="inlineStr">
        <is>
          <t>urn:oid:2.16.840.1.113883.6.238</t>
        </is>
      </c>
      <c r="C805" t="inlineStr">
        <is>
          <t>1979-4</t>
        </is>
      </c>
      <c r="D805" t="inlineStr">
        <is>
          <t>Kokhanok</t>
        </is>
      </c>
      <c r="E805" t="inlineStr">
        <is>
          <t>detailed</t>
        </is>
      </c>
      <c r="F805" t="inlineStr">
        <is>
          <t>primary</t>
        </is>
      </c>
      <c r="G805" t="inlineStr">
        <is>
          <t>required</t>
        </is>
      </c>
      <c r="H805" t="inlineStr">
        <is>
          <t>true</t>
        </is>
      </c>
      <c r="I805" t="inlineStr">
        <is>
          <t>892</t>
        </is>
      </c>
      <c r="J805" t="inlineStr">
        <is>
          <t>HL7 ValueSet expand (2026-06-09)</t>
        </is>
      </c>
      <c r="K805" t="inlineStr">
        <is>
          <t>false</t>
        </is>
      </c>
    </row>
    <row r="806">
      <c r="A806" t="inlineStr">
        <is>
          <t>Patient.race</t>
        </is>
      </c>
      <c r="B806" t="inlineStr">
        <is>
          <t>urn:oid:2.16.840.1.113883.6.238</t>
        </is>
      </c>
      <c r="C806" t="inlineStr">
        <is>
          <t>1980-2</t>
        </is>
      </c>
      <c r="D806" t="inlineStr">
        <is>
          <t>Perryville</t>
        </is>
      </c>
      <c r="E806" t="inlineStr">
        <is>
          <t>detailed</t>
        </is>
      </c>
      <c r="F806" t="inlineStr">
        <is>
          <t>primary</t>
        </is>
      </c>
      <c r="G806" t="inlineStr">
        <is>
          <t>required</t>
        </is>
      </c>
      <c r="H806" t="inlineStr">
        <is>
          <t>true</t>
        </is>
      </c>
      <c r="I806" t="inlineStr">
        <is>
          <t>893</t>
        </is>
      </c>
      <c r="J806" t="inlineStr">
        <is>
          <t>HL7 ValueSet expand (2026-06-09)</t>
        </is>
      </c>
      <c r="K806" t="inlineStr">
        <is>
          <t>false</t>
        </is>
      </c>
    </row>
    <row r="807">
      <c r="A807" t="inlineStr">
        <is>
          <t>Patient.race</t>
        </is>
      </c>
      <c r="B807" t="inlineStr">
        <is>
          <t>urn:oid:2.16.840.1.113883.6.238</t>
        </is>
      </c>
      <c r="C807" t="inlineStr">
        <is>
          <t>1981-0</t>
        </is>
      </c>
      <c r="D807" t="inlineStr">
        <is>
          <t>Pilot Point</t>
        </is>
      </c>
      <c r="E807" t="inlineStr">
        <is>
          <t>detailed</t>
        </is>
      </c>
      <c r="F807" t="inlineStr">
        <is>
          <t>primary</t>
        </is>
      </c>
      <c r="G807" t="inlineStr">
        <is>
          <t>required</t>
        </is>
      </c>
      <c r="H807" t="inlineStr">
        <is>
          <t>true</t>
        </is>
      </c>
      <c r="I807" t="inlineStr">
        <is>
          <t>894</t>
        </is>
      </c>
      <c r="J807" t="inlineStr">
        <is>
          <t>HL7 ValueSet expand (2026-06-09)</t>
        </is>
      </c>
      <c r="K807" t="inlineStr">
        <is>
          <t>false</t>
        </is>
      </c>
    </row>
    <row r="808">
      <c r="A808" t="inlineStr">
        <is>
          <t>Patient.race</t>
        </is>
      </c>
      <c r="B808" t="inlineStr">
        <is>
          <t>urn:oid:2.16.840.1.113883.6.238</t>
        </is>
      </c>
      <c r="C808" t="inlineStr">
        <is>
          <t>1982-8</t>
        </is>
      </c>
      <c r="D808" t="inlineStr">
        <is>
          <t>Port Heiden</t>
        </is>
      </c>
      <c r="E808" t="inlineStr">
        <is>
          <t>detailed</t>
        </is>
      </c>
      <c r="F808" t="inlineStr">
        <is>
          <t>primary</t>
        </is>
      </c>
      <c r="G808" t="inlineStr">
        <is>
          <t>required</t>
        </is>
      </c>
      <c r="H808" t="inlineStr">
        <is>
          <t>true</t>
        </is>
      </c>
      <c r="I808" t="inlineStr">
        <is>
          <t>895</t>
        </is>
      </c>
      <c r="J808" t="inlineStr">
        <is>
          <t>HL7 ValueSet expand (2026-06-09)</t>
        </is>
      </c>
      <c r="K808" t="inlineStr">
        <is>
          <t>false</t>
        </is>
      </c>
    </row>
    <row r="809">
      <c r="A809" t="inlineStr">
        <is>
          <t>Patient.race</t>
        </is>
      </c>
      <c r="B809" t="inlineStr">
        <is>
          <t>urn:oid:2.16.840.1.113883.6.238</t>
        </is>
      </c>
      <c r="C809" t="inlineStr">
        <is>
          <t>1984-4</t>
        </is>
      </c>
      <c r="D809" t="inlineStr">
        <is>
          <t>Chugach Aleut</t>
        </is>
      </c>
      <c r="E809" t="inlineStr">
        <is>
          <t>detailed</t>
        </is>
      </c>
      <c r="F809" t="inlineStr">
        <is>
          <t>primary</t>
        </is>
      </c>
      <c r="G809" t="inlineStr">
        <is>
          <t>required</t>
        </is>
      </c>
      <c r="H809" t="inlineStr">
        <is>
          <t>true</t>
        </is>
      </c>
      <c r="I809" t="inlineStr">
        <is>
          <t>896</t>
        </is>
      </c>
      <c r="J809" t="inlineStr">
        <is>
          <t>HL7 ValueSet expand (2026-06-09)</t>
        </is>
      </c>
      <c r="K809" t="inlineStr">
        <is>
          <t>false</t>
        </is>
      </c>
    </row>
    <row r="810">
      <c r="A810" t="inlineStr">
        <is>
          <t>Patient.race</t>
        </is>
      </c>
      <c r="B810" t="inlineStr">
        <is>
          <t>urn:oid:2.16.840.1.113883.6.238</t>
        </is>
      </c>
      <c r="C810" t="inlineStr">
        <is>
          <t>1985-1</t>
        </is>
      </c>
      <c r="D810" t="inlineStr">
        <is>
          <t>Chenega</t>
        </is>
      </c>
      <c r="E810" t="inlineStr">
        <is>
          <t>detailed</t>
        </is>
      </c>
      <c r="F810" t="inlineStr">
        <is>
          <t>primary</t>
        </is>
      </c>
      <c r="G810" t="inlineStr">
        <is>
          <t>required</t>
        </is>
      </c>
      <c r="H810" t="inlineStr">
        <is>
          <t>true</t>
        </is>
      </c>
      <c r="I810" t="inlineStr">
        <is>
          <t>897</t>
        </is>
      </c>
      <c r="J810" t="inlineStr">
        <is>
          <t>HL7 ValueSet expand (2026-06-09)</t>
        </is>
      </c>
      <c r="K810" t="inlineStr">
        <is>
          <t>false</t>
        </is>
      </c>
    </row>
    <row r="811">
      <c r="A811" t="inlineStr">
        <is>
          <t>Patient.race</t>
        </is>
      </c>
      <c r="B811" t="inlineStr">
        <is>
          <t>urn:oid:2.16.840.1.113883.6.238</t>
        </is>
      </c>
      <c r="C811" t="inlineStr">
        <is>
          <t>1986-9</t>
        </is>
      </c>
      <c r="D811" t="inlineStr">
        <is>
          <t>Chugach Corporation</t>
        </is>
      </c>
      <c r="E811" t="inlineStr">
        <is>
          <t>detailed</t>
        </is>
      </c>
      <c r="F811" t="inlineStr">
        <is>
          <t>primary</t>
        </is>
      </c>
      <c r="G811" t="inlineStr">
        <is>
          <t>required</t>
        </is>
      </c>
      <c r="H811" t="inlineStr">
        <is>
          <t>true</t>
        </is>
      </c>
      <c r="I811" t="inlineStr">
        <is>
          <t>898</t>
        </is>
      </c>
      <c r="J811" t="inlineStr">
        <is>
          <t>HL7 ValueSet expand (2026-06-09)</t>
        </is>
      </c>
      <c r="K811" t="inlineStr">
        <is>
          <t>false</t>
        </is>
      </c>
    </row>
    <row r="812">
      <c r="A812" t="inlineStr">
        <is>
          <t>Patient.race</t>
        </is>
      </c>
      <c r="B812" t="inlineStr">
        <is>
          <t>urn:oid:2.16.840.1.113883.6.238</t>
        </is>
      </c>
      <c r="C812" t="inlineStr">
        <is>
          <t>1987-7</t>
        </is>
      </c>
      <c r="D812" t="inlineStr">
        <is>
          <t>English Bay</t>
        </is>
      </c>
      <c r="E812" t="inlineStr">
        <is>
          <t>detailed</t>
        </is>
      </c>
      <c r="F812" t="inlineStr">
        <is>
          <t>primary</t>
        </is>
      </c>
      <c r="G812" t="inlineStr">
        <is>
          <t>required</t>
        </is>
      </c>
      <c r="H812" t="inlineStr">
        <is>
          <t>true</t>
        </is>
      </c>
      <c r="I812" t="inlineStr">
        <is>
          <t>899</t>
        </is>
      </c>
      <c r="J812" t="inlineStr">
        <is>
          <t>HL7 ValueSet expand (2026-06-09)</t>
        </is>
      </c>
      <c r="K812" t="inlineStr">
        <is>
          <t>false</t>
        </is>
      </c>
    </row>
    <row r="813">
      <c r="A813" t="inlineStr">
        <is>
          <t>Patient.race</t>
        </is>
      </c>
      <c r="B813" t="inlineStr">
        <is>
          <t>urn:oid:2.16.840.1.113883.6.238</t>
        </is>
      </c>
      <c r="C813" t="inlineStr">
        <is>
          <t>1988-5</t>
        </is>
      </c>
      <c r="D813" t="inlineStr">
        <is>
          <t>Port Graham</t>
        </is>
      </c>
      <c r="E813" t="inlineStr">
        <is>
          <t>detailed</t>
        </is>
      </c>
      <c r="F813" t="inlineStr">
        <is>
          <t>primary</t>
        </is>
      </c>
      <c r="G813" t="inlineStr">
        <is>
          <t>required</t>
        </is>
      </c>
      <c r="H813" t="inlineStr">
        <is>
          <t>true</t>
        </is>
      </c>
      <c r="I813" t="inlineStr">
        <is>
          <t>900</t>
        </is>
      </c>
      <c r="J813" t="inlineStr">
        <is>
          <t>HL7 ValueSet expand (2026-06-09)</t>
        </is>
      </c>
      <c r="K813" t="inlineStr">
        <is>
          <t>false</t>
        </is>
      </c>
    </row>
    <row r="814">
      <c r="A814" t="inlineStr">
        <is>
          <t>Patient.race</t>
        </is>
      </c>
      <c r="B814" t="inlineStr">
        <is>
          <t>urn:oid:2.16.840.1.113883.6.238</t>
        </is>
      </c>
      <c r="C814" t="inlineStr">
        <is>
          <t>1990-1</t>
        </is>
      </c>
      <c r="D814" t="inlineStr">
        <is>
          <t>Eyak</t>
        </is>
      </c>
      <c r="E814" t="inlineStr">
        <is>
          <t>detailed</t>
        </is>
      </c>
      <c r="F814" t="inlineStr">
        <is>
          <t>primary</t>
        </is>
      </c>
      <c r="G814" t="inlineStr">
        <is>
          <t>required</t>
        </is>
      </c>
      <c r="H814" t="inlineStr">
        <is>
          <t>true</t>
        </is>
      </c>
      <c r="I814" t="inlineStr">
        <is>
          <t>901</t>
        </is>
      </c>
      <c r="J814" t="inlineStr">
        <is>
          <t>HL7 ValueSet expand (2026-06-09)</t>
        </is>
      </c>
      <c r="K814" t="inlineStr">
        <is>
          <t>false</t>
        </is>
      </c>
    </row>
    <row r="815">
      <c r="A815" t="inlineStr">
        <is>
          <t>Patient.race</t>
        </is>
      </c>
      <c r="B815" t="inlineStr">
        <is>
          <t>urn:oid:2.16.840.1.113883.6.238</t>
        </is>
      </c>
      <c r="C815" t="inlineStr">
        <is>
          <t>1992-7</t>
        </is>
      </c>
      <c r="D815" t="inlineStr">
        <is>
          <t>Koniag Aleut</t>
        </is>
      </c>
      <c r="E815" t="inlineStr">
        <is>
          <t>detailed</t>
        </is>
      </c>
      <c r="F815" t="inlineStr">
        <is>
          <t>primary</t>
        </is>
      </c>
      <c r="G815" t="inlineStr">
        <is>
          <t>required</t>
        </is>
      </c>
      <c r="H815" t="inlineStr">
        <is>
          <t>true</t>
        </is>
      </c>
      <c r="I815" t="inlineStr">
        <is>
          <t>902</t>
        </is>
      </c>
      <c r="J815" t="inlineStr">
        <is>
          <t>HL7 ValueSet expand (2026-06-09)</t>
        </is>
      </c>
      <c r="K815" t="inlineStr">
        <is>
          <t>false</t>
        </is>
      </c>
    </row>
    <row r="816">
      <c r="A816" t="inlineStr">
        <is>
          <t>Patient.race</t>
        </is>
      </c>
      <c r="B816" t="inlineStr">
        <is>
          <t>urn:oid:2.16.840.1.113883.6.238</t>
        </is>
      </c>
      <c r="C816" t="inlineStr">
        <is>
          <t>1993-5</t>
        </is>
      </c>
      <c r="D816" t="inlineStr">
        <is>
          <t>Akhiok</t>
        </is>
      </c>
      <c r="E816" t="inlineStr">
        <is>
          <t>detailed</t>
        </is>
      </c>
      <c r="F816" t="inlineStr">
        <is>
          <t>primary</t>
        </is>
      </c>
      <c r="G816" t="inlineStr">
        <is>
          <t>required</t>
        </is>
      </c>
      <c r="H816" t="inlineStr">
        <is>
          <t>true</t>
        </is>
      </c>
      <c r="I816" t="inlineStr">
        <is>
          <t>903</t>
        </is>
      </c>
      <c r="J816" t="inlineStr">
        <is>
          <t>HL7 ValueSet expand (2026-06-09)</t>
        </is>
      </c>
      <c r="K816" t="inlineStr">
        <is>
          <t>false</t>
        </is>
      </c>
    </row>
    <row r="817">
      <c r="A817" t="inlineStr">
        <is>
          <t>Patient.race</t>
        </is>
      </c>
      <c r="B817" t="inlineStr">
        <is>
          <t>urn:oid:2.16.840.1.113883.6.238</t>
        </is>
      </c>
      <c r="C817" t="inlineStr">
        <is>
          <t>1994-3</t>
        </is>
      </c>
      <c r="D817" t="inlineStr">
        <is>
          <t>Agdaagux</t>
        </is>
      </c>
      <c r="E817" t="inlineStr">
        <is>
          <t>detailed</t>
        </is>
      </c>
      <c r="F817" t="inlineStr">
        <is>
          <t>primary</t>
        </is>
      </c>
      <c r="G817" t="inlineStr">
        <is>
          <t>required</t>
        </is>
      </c>
      <c r="H817" t="inlineStr">
        <is>
          <t>true</t>
        </is>
      </c>
      <c r="I817" t="inlineStr">
        <is>
          <t>904</t>
        </is>
      </c>
      <c r="J817" t="inlineStr">
        <is>
          <t>HL7 ValueSet expand (2026-06-09)</t>
        </is>
      </c>
      <c r="K817" t="inlineStr">
        <is>
          <t>false</t>
        </is>
      </c>
    </row>
    <row r="818">
      <c r="A818" t="inlineStr">
        <is>
          <t>Patient.race</t>
        </is>
      </c>
      <c r="B818" t="inlineStr">
        <is>
          <t>urn:oid:2.16.840.1.113883.6.238</t>
        </is>
      </c>
      <c r="C818" t="inlineStr">
        <is>
          <t>1995-0</t>
        </is>
      </c>
      <c r="D818" t="inlineStr">
        <is>
          <t>Karluk</t>
        </is>
      </c>
      <c r="E818" t="inlineStr">
        <is>
          <t>detailed</t>
        </is>
      </c>
      <c r="F818" t="inlineStr">
        <is>
          <t>primary</t>
        </is>
      </c>
      <c r="G818" t="inlineStr">
        <is>
          <t>required</t>
        </is>
      </c>
      <c r="H818" t="inlineStr">
        <is>
          <t>true</t>
        </is>
      </c>
      <c r="I818" t="inlineStr">
        <is>
          <t>905</t>
        </is>
      </c>
      <c r="J818" t="inlineStr">
        <is>
          <t>HL7 ValueSet expand (2026-06-09)</t>
        </is>
      </c>
      <c r="K818" t="inlineStr">
        <is>
          <t>false</t>
        </is>
      </c>
    </row>
    <row r="819">
      <c r="A819" t="inlineStr">
        <is>
          <t>Patient.race</t>
        </is>
      </c>
      <c r="B819" t="inlineStr">
        <is>
          <t>urn:oid:2.16.840.1.113883.6.238</t>
        </is>
      </c>
      <c r="C819" t="inlineStr">
        <is>
          <t>1996-8</t>
        </is>
      </c>
      <c r="D819" t="inlineStr">
        <is>
          <t>Kodiak</t>
        </is>
      </c>
      <c r="E819" t="inlineStr">
        <is>
          <t>detailed</t>
        </is>
      </c>
      <c r="F819" t="inlineStr">
        <is>
          <t>primary</t>
        </is>
      </c>
      <c r="G819" t="inlineStr">
        <is>
          <t>required</t>
        </is>
      </c>
      <c r="H819" t="inlineStr">
        <is>
          <t>true</t>
        </is>
      </c>
      <c r="I819" t="inlineStr">
        <is>
          <t>906</t>
        </is>
      </c>
      <c r="J819" t="inlineStr">
        <is>
          <t>HL7 ValueSet expand (2026-06-09)</t>
        </is>
      </c>
      <c r="K819" t="inlineStr">
        <is>
          <t>false</t>
        </is>
      </c>
    </row>
    <row r="820">
      <c r="A820" t="inlineStr">
        <is>
          <t>Patient.race</t>
        </is>
      </c>
      <c r="B820" t="inlineStr">
        <is>
          <t>urn:oid:2.16.840.1.113883.6.238</t>
        </is>
      </c>
      <c r="C820" t="inlineStr">
        <is>
          <t>1997-6</t>
        </is>
      </c>
      <c r="D820" t="inlineStr">
        <is>
          <t>Larsen Bay</t>
        </is>
      </c>
      <c r="E820" t="inlineStr">
        <is>
          <t>detailed</t>
        </is>
      </c>
      <c r="F820" t="inlineStr">
        <is>
          <t>primary</t>
        </is>
      </c>
      <c r="G820" t="inlineStr">
        <is>
          <t>required</t>
        </is>
      </c>
      <c r="H820" t="inlineStr">
        <is>
          <t>true</t>
        </is>
      </c>
      <c r="I820" t="inlineStr">
        <is>
          <t>907</t>
        </is>
      </c>
      <c r="J820" t="inlineStr">
        <is>
          <t>HL7 ValueSet expand (2026-06-09)</t>
        </is>
      </c>
      <c r="K820" t="inlineStr">
        <is>
          <t>false</t>
        </is>
      </c>
    </row>
    <row r="821">
      <c r="A821" t="inlineStr">
        <is>
          <t>Patient.race</t>
        </is>
      </c>
      <c r="B821" t="inlineStr">
        <is>
          <t>urn:oid:2.16.840.1.113883.6.238</t>
        </is>
      </c>
      <c r="C821" t="inlineStr">
        <is>
          <t>1998-4</t>
        </is>
      </c>
      <c r="D821" t="inlineStr">
        <is>
          <t>Old Harbor</t>
        </is>
      </c>
      <c r="E821" t="inlineStr">
        <is>
          <t>detailed</t>
        </is>
      </c>
      <c r="F821" t="inlineStr">
        <is>
          <t>primary</t>
        </is>
      </c>
      <c r="G821" t="inlineStr">
        <is>
          <t>required</t>
        </is>
      </c>
      <c r="H821" t="inlineStr">
        <is>
          <t>true</t>
        </is>
      </c>
      <c r="I821" t="inlineStr">
        <is>
          <t>908</t>
        </is>
      </c>
      <c r="J821" t="inlineStr">
        <is>
          <t>HL7 ValueSet expand (2026-06-09)</t>
        </is>
      </c>
      <c r="K821" t="inlineStr">
        <is>
          <t>false</t>
        </is>
      </c>
    </row>
    <row r="822">
      <c r="A822" t="inlineStr">
        <is>
          <t>Patient.race</t>
        </is>
      </c>
      <c r="B822" t="inlineStr">
        <is>
          <t>urn:oid:2.16.840.1.113883.6.238</t>
        </is>
      </c>
      <c r="C822" t="inlineStr">
        <is>
          <t>1999-2</t>
        </is>
      </c>
      <c r="D822" t="inlineStr">
        <is>
          <t>Ouzinkie</t>
        </is>
      </c>
      <c r="E822" t="inlineStr">
        <is>
          <t>detailed</t>
        </is>
      </c>
      <c r="F822" t="inlineStr">
        <is>
          <t>primary</t>
        </is>
      </c>
      <c r="G822" t="inlineStr">
        <is>
          <t>required</t>
        </is>
      </c>
      <c r="H822" t="inlineStr">
        <is>
          <t>true</t>
        </is>
      </c>
      <c r="I822" t="inlineStr">
        <is>
          <t>909</t>
        </is>
      </c>
      <c r="J822" t="inlineStr">
        <is>
          <t>HL7 ValueSet expand (2026-06-09)</t>
        </is>
      </c>
      <c r="K822" t="inlineStr">
        <is>
          <t>false</t>
        </is>
      </c>
    </row>
    <row r="823">
      <c r="A823" t="inlineStr">
        <is>
          <t>Patient.race</t>
        </is>
      </c>
      <c r="B823" t="inlineStr">
        <is>
          <t>urn:oid:2.16.840.1.113883.6.238</t>
        </is>
      </c>
      <c r="C823" t="inlineStr">
        <is>
          <t>2000-8</t>
        </is>
      </c>
      <c r="D823" t="inlineStr">
        <is>
          <t>Port Lions</t>
        </is>
      </c>
      <c r="E823" t="inlineStr">
        <is>
          <t>detailed</t>
        </is>
      </c>
      <c r="F823" t="inlineStr">
        <is>
          <t>primary</t>
        </is>
      </c>
      <c r="G823" t="inlineStr">
        <is>
          <t>required</t>
        </is>
      </c>
      <c r="H823" t="inlineStr">
        <is>
          <t>true</t>
        </is>
      </c>
      <c r="I823" t="inlineStr">
        <is>
          <t>910</t>
        </is>
      </c>
      <c r="J823" t="inlineStr">
        <is>
          <t>HL7 ValueSet expand (2026-06-09)</t>
        </is>
      </c>
      <c r="K823" t="inlineStr">
        <is>
          <t>false</t>
        </is>
      </c>
    </row>
    <row r="824">
      <c r="A824" t="inlineStr">
        <is>
          <t>Patient.race</t>
        </is>
      </c>
      <c r="B824" t="inlineStr">
        <is>
          <t>urn:oid:2.16.840.1.113883.6.238</t>
        </is>
      </c>
      <c r="C824" t="inlineStr">
        <is>
          <t>2002-4</t>
        </is>
      </c>
      <c r="D824" t="inlineStr">
        <is>
          <t>Sugpiaq</t>
        </is>
      </c>
      <c r="E824" t="inlineStr">
        <is>
          <t>detailed</t>
        </is>
      </c>
      <c r="F824" t="inlineStr">
        <is>
          <t>primary</t>
        </is>
      </c>
      <c r="G824" t="inlineStr">
        <is>
          <t>required</t>
        </is>
      </c>
      <c r="H824" t="inlineStr">
        <is>
          <t>true</t>
        </is>
      </c>
      <c r="I824" t="inlineStr">
        <is>
          <t>911</t>
        </is>
      </c>
      <c r="J824" t="inlineStr">
        <is>
          <t>HL7 ValueSet expand (2026-06-09)</t>
        </is>
      </c>
      <c r="K824" t="inlineStr">
        <is>
          <t>false</t>
        </is>
      </c>
    </row>
    <row r="825">
      <c r="A825" t="inlineStr">
        <is>
          <t>Patient.race</t>
        </is>
      </c>
      <c r="B825" t="inlineStr">
        <is>
          <t>urn:oid:2.16.840.1.113883.6.238</t>
        </is>
      </c>
      <c r="C825" t="inlineStr">
        <is>
          <t>2004-0</t>
        </is>
      </c>
      <c r="D825" t="inlineStr">
        <is>
          <t>Suqpigaq</t>
        </is>
      </c>
      <c r="E825" t="inlineStr">
        <is>
          <t>detailed</t>
        </is>
      </c>
      <c r="F825" t="inlineStr">
        <is>
          <t>primary</t>
        </is>
      </c>
      <c r="G825" t="inlineStr">
        <is>
          <t>required</t>
        </is>
      </c>
      <c r="H825" t="inlineStr">
        <is>
          <t>true</t>
        </is>
      </c>
      <c r="I825" t="inlineStr">
        <is>
          <t>912</t>
        </is>
      </c>
      <c r="J825" t="inlineStr">
        <is>
          <t>HL7 ValueSet expand (2026-06-09)</t>
        </is>
      </c>
      <c r="K825" t="inlineStr">
        <is>
          <t>false</t>
        </is>
      </c>
    </row>
    <row r="826">
      <c r="A826" t="inlineStr">
        <is>
          <t>Patient.race</t>
        </is>
      </c>
      <c r="B826" t="inlineStr">
        <is>
          <t>urn:oid:2.16.840.1.113883.6.238</t>
        </is>
      </c>
      <c r="C826" t="inlineStr">
        <is>
          <t>2006-5</t>
        </is>
      </c>
      <c r="D826" t="inlineStr">
        <is>
          <t>Unangan Aleut</t>
        </is>
      </c>
      <c r="E826" t="inlineStr">
        <is>
          <t>detailed</t>
        </is>
      </c>
      <c r="F826" t="inlineStr">
        <is>
          <t>primary</t>
        </is>
      </c>
      <c r="G826" t="inlineStr">
        <is>
          <t>required</t>
        </is>
      </c>
      <c r="H826" t="inlineStr">
        <is>
          <t>true</t>
        </is>
      </c>
      <c r="I826" t="inlineStr">
        <is>
          <t>913</t>
        </is>
      </c>
      <c r="J826" t="inlineStr">
        <is>
          <t>HL7 ValueSet expand (2026-06-09)</t>
        </is>
      </c>
      <c r="K826" t="inlineStr">
        <is>
          <t>false</t>
        </is>
      </c>
    </row>
    <row r="827">
      <c r="A827" t="inlineStr">
        <is>
          <t>Patient.race</t>
        </is>
      </c>
      <c r="B827" t="inlineStr">
        <is>
          <t>urn:oid:2.16.840.1.113883.6.238</t>
        </is>
      </c>
      <c r="C827" t="inlineStr">
        <is>
          <t>2007-3</t>
        </is>
      </c>
      <c r="D827" t="inlineStr">
        <is>
          <t>Akutan</t>
        </is>
      </c>
      <c r="E827" t="inlineStr">
        <is>
          <t>detailed</t>
        </is>
      </c>
      <c r="F827" t="inlineStr">
        <is>
          <t>primary</t>
        </is>
      </c>
      <c r="G827" t="inlineStr">
        <is>
          <t>required</t>
        </is>
      </c>
      <c r="H827" t="inlineStr">
        <is>
          <t>true</t>
        </is>
      </c>
      <c r="I827" t="inlineStr">
        <is>
          <t>914</t>
        </is>
      </c>
      <c r="J827" t="inlineStr">
        <is>
          <t>HL7 ValueSet expand (2026-06-09)</t>
        </is>
      </c>
      <c r="K827" t="inlineStr">
        <is>
          <t>false</t>
        </is>
      </c>
    </row>
    <row r="828">
      <c r="A828" t="inlineStr">
        <is>
          <t>Patient.race</t>
        </is>
      </c>
      <c r="B828" t="inlineStr">
        <is>
          <t>urn:oid:2.16.840.1.113883.6.238</t>
        </is>
      </c>
      <c r="C828" t="inlineStr">
        <is>
          <t>2008-1</t>
        </is>
      </c>
      <c r="D828" t="inlineStr">
        <is>
          <t>Aleut Corporation</t>
        </is>
      </c>
      <c r="E828" t="inlineStr">
        <is>
          <t>detailed</t>
        </is>
      </c>
      <c r="F828" t="inlineStr">
        <is>
          <t>primary</t>
        </is>
      </c>
      <c r="G828" t="inlineStr">
        <is>
          <t>required</t>
        </is>
      </c>
      <c r="H828" t="inlineStr">
        <is>
          <t>true</t>
        </is>
      </c>
      <c r="I828" t="inlineStr">
        <is>
          <t>915</t>
        </is>
      </c>
      <c r="J828" t="inlineStr">
        <is>
          <t>HL7 ValueSet expand (2026-06-09)</t>
        </is>
      </c>
      <c r="K828" t="inlineStr">
        <is>
          <t>false</t>
        </is>
      </c>
    </row>
    <row r="829">
      <c r="A829" t="inlineStr">
        <is>
          <t>Patient.race</t>
        </is>
      </c>
      <c r="B829" t="inlineStr">
        <is>
          <t>urn:oid:2.16.840.1.113883.6.238</t>
        </is>
      </c>
      <c r="C829" t="inlineStr">
        <is>
          <t>2009-9</t>
        </is>
      </c>
      <c r="D829" t="inlineStr">
        <is>
          <t>Aleutian</t>
        </is>
      </c>
      <c r="E829" t="inlineStr">
        <is>
          <t>detailed</t>
        </is>
      </c>
      <c r="F829" t="inlineStr">
        <is>
          <t>primary</t>
        </is>
      </c>
      <c r="G829" t="inlineStr">
        <is>
          <t>required</t>
        </is>
      </c>
      <c r="H829" t="inlineStr">
        <is>
          <t>true</t>
        </is>
      </c>
      <c r="I829" t="inlineStr">
        <is>
          <t>916</t>
        </is>
      </c>
      <c r="J829" t="inlineStr">
        <is>
          <t>HL7 ValueSet expand (2026-06-09)</t>
        </is>
      </c>
      <c r="K829" t="inlineStr">
        <is>
          <t>false</t>
        </is>
      </c>
    </row>
    <row r="830">
      <c r="A830" t="inlineStr">
        <is>
          <t>Patient.race</t>
        </is>
      </c>
      <c r="B830" t="inlineStr">
        <is>
          <t>urn:oid:2.16.840.1.113883.6.238</t>
        </is>
      </c>
      <c r="C830" t="inlineStr">
        <is>
          <t>2010-7</t>
        </is>
      </c>
      <c r="D830" t="inlineStr">
        <is>
          <t>Aleutian Islander</t>
        </is>
      </c>
      <c r="E830" t="inlineStr">
        <is>
          <t>detailed</t>
        </is>
      </c>
      <c r="F830" t="inlineStr">
        <is>
          <t>primary</t>
        </is>
      </c>
      <c r="G830" t="inlineStr">
        <is>
          <t>required</t>
        </is>
      </c>
      <c r="H830" t="inlineStr">
        <is>
          <t>true</t>
        </is>
      </c>
      <c r="I830" t="inlineStr">
        <is>
          <t>917</t>
        </is>
      </c>
      <c r="J830" t="inlineStr">
        <is>
          <t>HL7 ValueSet expand (2026-06-09)</t>
        </is>
      </c>
      <c r="K830" t="inlineStr">
        <is>
          <t>false</t>
        </is>
      </c>
    </row>
    <row r="831">
      <c r="A831" t="inlineStr">
        <is>
          <t>Patient.race</t>
        </is>
      </c>
      <c r="B831" t="inlineStr">
        <is>
          <t>urn:oid:2.16.840.1.113883.6.238</t>
        </is>
      </c>
      <c r="C831" t="inlineStr">
        <is>
          <t>2011-5</t>
        </is>
      </c>
      <c r="D831" t="inlineStr">
        <is>
          <t>Atka</t>
        </is>
      </c>
      <c r="E831" t="inlineStr">
        <is>
          <t>detailed</t>
        </is>
      </c>
      <c r="F831" t="inlineStr">
        <is>
          <t>primary</t>
        </is>
      </c>
      <c r="G831" t="inlineStr">
        <is>
          <t>required</t>
        </is>
      </c>
      <c r="H831" t="inlineStr">
        <is>
          <t>true</t>
        </is>
      </c>
      <c r="I831" t="inlineStr">
        <is>
          <t>918</t>
        </is>
      </c>
      <c r="J831" t="inlineStr">
        <is>
          <t>HL7 ValueSet expand (2026-06-09)</t>
        </is>
      </c>
      <c r="K831" t="inlineStr">
        <is>
          <t>false</t>
        </is>
      </c>
    </row>
    <row r="832">
      <c r="A832" t="inlineStr">
        <is>
          <t>Patient.race</t>
        </is>
      </c>
      <c r="B832" t="inlineStr">
        <is>
          <t>urn:oid:2.16.840.1.113883.6.238</t>
        </is>
      </c>
      <c r="C832" t="inlineStr">
        <is>
          <t>2012-3</t>
        </is>
      </c>
      <c r="D832" t="inlineStr">
        <is>
          <t>Belkofski</t>
        </is>
      </c>
      <c r="E832" t="inlineStr">
        <is>
          <t>detailed</t>
        </is>
      </c>
      <c r="F832" t="inlineStr">
        <is>
          <t>primary</t>
        </is>
      </c>
      <c r="G832" t="inlineStr">
        <is>
          <t>required</t>
        </is>
      </c>
      <c r="H832" t="inlineStr">
        <is>
          <t>true</t>
        </is>
      </c>
      <c r="I832" t="inlineStr">
        <is>
          <t>919</t>
        </is>
      </c>
      <c r="J832" t="inlineStr">
        <is>
          <t>HL7 ValueSet expand (2026-06-09)</t>
        </is>
      </c>
      <c r="K832" t="inlineStr">
        <is>
          <t>false</t>
        </is>
      </c>
    </row>
    <row r="833">
      <c r="A833" t="inlineStr">
        <is>
          <t>Patient.race</t>
        </is>
      </c>
      <c r="B833" t="inlineStr">
        <is>
          <t>urn:oid:2.16.840.1.113883.6.238</t>
        </is>
      </c>
      <c r="C833" t="inlineStr">
        <is>
          <t>2013-1</t>
        </is>
      </c>
      <c r="D833" t="inlineStr">
        <is>
          <t>Chignik Lagoon</t>
        </is>
      </c>
      <c r="E833" t="inlineStr">
        <is>
          <t>detailed</t>
        </is>
      </c>
      <c r="F833" t="inlineStr">
        <is>
          <t>primary</t>
        </is>
      </c>
      <c r="G833" t="inlineStr">
        <is>
          <t>required</t>
        </is>
      </c>
      <c r="H833" t="inlineStr">
        <is>
          <t>true</t>
        </is>
      </c>
      <c r="I833" t="inlineStr">
        <is>
          <t>920</t>
        </is>
      </c>
      <c r="J833" t="inlineStr">
        <is>
          <t>HL7 ValueSet expand (2026-06-09)</t>
        </is>
      </c>
      <c r="K833" t="inlineStr">
        <is>
          <t>false</t>
        </is>
      </c>
    </row>
    <row r="834">
      <c r="A834" t="inlineStr">
        <is>
          <t>Patient.race</t>
        </is>
      </c>
      <c r="B834" t="inlineStr">
        <is>
          <t>urn:oid:2.16.840.1.113883.6.238</t>
        </is>
      </c>
      <c r="C834" t="inlineStr">
        <is>
          <t>2014-9</t>
        </is>
      </c>
      <c r="D834" t="inlineStr">
        <is>
          <t>King Cove</t>
        </is>
      </c>
      <c r="E834" t="inlineStr">
        <is>
          <t>detailed</t>
        </is>
      </c>
      <c r="F834" t="inlineStr">
        <is>
          <t>primary</t>
        </is>
      </c>
      <c r="G834" t="inlineStr">
        <is>
          <t>required</t>
        </is>
      </c>
      <c r="H834" t="inlineStr">
        <is>
          <t>true</t>
        </is>
      </c>
      <c r="I834" t="inlineStr">
        <is>
          <t>921</t>
        </is>
      </c>
      <c r="J834" t="inlineStr">
        <is>
          <t>HL7 ValueSet expand (2026-06-09)</t>
        </is>
      </c>
      <c r="K834" t="inlineStr">
        <is>
          <t>false</t>
        </is>
      </c>
    </row>
    <row r="835">
      <c r="A835" t="inlineStr">
        <is>
          <t>Patient.race</t>
        </is>
      </c>
      <c r="B835" t="inlineStr">
        <is>
          <t>urn:oid:2.16.840.1.113883.6.238</t>
        </is>
      </c>
      <c r="C835" t="inlineStr">
        <is>
          <t>2015-6</t>
        </is>
      </c>
      <c r="D835" t="inlineStr">
        <is>
          <t>False Pass</t>
        </is>
      </c>
      <c r="E835" t="inlineStr">
        <is>
          <t>detailed</t>
        </is>
      </c>
      <c r="F835" t="inlineStr">
        <is>
          <t>primary</t>
        </is>
      </c>
      <c r="G835" t="inlineStr">
        <is>
          <t>required</t>
        </is>
      </c>
      <c r="H835" t="inlineStr">
        <is>
          <t>true</t>
        </is>
      </c>
      <c r="I835" t="inlineStr">
        <is>
          <t>922</t>
        </is>
      </c>
      <c r="J835" t="inlineStr">
        <is>
          <t>HL7 ValueSet expand (2026-06-09)</t>
        </is>
      </c>
      <c r="K835" t="inlineStr">
        <is>
          <t>false</t>
        </is>
      </c>
    </row>
    <row r="836">
      <c r="A836" t="inlineStr">
        <is>
          <t>Patient.race</t>
        </is>
      </c>
      <c r="B836" t="inlineStr">
        <is>
          <t>urn:oid:2.16.840.1.113883.6.238</t>
        </is>
      </c>
      <c r="C836" t="inlineStr">
        <is>
          <t>2016-4</t>
        </is>
      </c>
      <c r="D836" t="inlineStr">
        <is>
          <t>Nelson Lagoon</t>
        </is>
      </c>
      <c r="E836" t="inlineStr">
        <is>
          <t>detailed</t>
        </is>
      </c>
      <c r="F836" t="inlineStr">
        <is>
          <t>primary</t>
        </is>
      </c>
      <c r="G836" t="inlineStr">
        <is>
          <t>required</t>
        </is>
      </c>
      <c r="H836" t="inlineStr">
        <is>
          <t>true</t>
        </is>
      </c>
      <c r="I836" t="inlineStr">
        <is>
          <t>923</t>
        </is>
      </c>
      <c r="J836" t="inlineStr">
        <is>
          <t>HL7 ValueSet expand (2026-06-09)</t>
        </is>
      </c>
      <c r="K836" t="inlineStr">
        <is>
          <t>false</t>
        </is>
      </c>
    </row>
    <row r="837">
      <c r="A837" t="inlineStr">
        <is>
          <t>Patient.race</t>
        </is>
      </c>
      <c r="B837" t="inlineStr">
        <is>
          <t>urn:oid:2.16.840.1.113883.6.238</t>
        </is>
      </c>
      <c r="C837" t="inlineStr">
        <is>
          <t>2017-2</t>
        </is>
      </c>
      <c r="D837" t="inlineStr">
        <is>
          <t>Nikolski</t>
        </is>
      </c>
      <c r="E837" t="inlineStr">
        <is>
          <t>detailed</t>
        </is>
      </c>
      <c r="F837" t="inlineStr">
        <is>
          <t>primary</t>
        </is>
      </c>
      <c r="G837" t="inlineStr">
        <is>
          <t>required</t>
        </is>
      </c>
      <c r="H837" t="inlineStr">
        <is>
          <t>true</t>
        </is>
      </c>
      <c r="I837" t="inlineStr">
        <is>
          <t>924</t>
        </is>
      </c>
      <c r="J837" t="inlineStr">
        <is>
          <t>HL7 ValueSet expand (2026-06-09)</t>
        </is>
      </c>
      <c r="K837" t="inlineStr">
        <is>
          <t>false</t>
        </is>
      </c>
    </row>
    <row r="838">
      <c r="A838" t="inlineStr">
        <is>
          <t>Patient.race</t>
        </is>
      </c>
      <c r="B838" t="inlineStr">
        <is>
          <t>urn:oid:2.16.840.1.113883.6.238</t>
        </is>
      </c>
      <c r="C838" t="inlineStr">
        <is>
          <t>2018-0</t>
        </is>
      </c>
      <c r="D838" t="inlineStr">
        <is>
          <t>Pauloff Harbor</t>
        </is>
      </c>
      <c r="E838" t="inlineStr">
        <is>
          <t>detailed</t>
        </is>
      </c>
      <c r="F838" t="inlineStr">
        <is>
          <t>primary</t>
        </is>
      </c>
      <c r="G838" t="inlineStr">
        <is>
          <t>required</t>
        </is>
      </c>
      <c r="H838" t="inlineStr">
        <is>
          <t>true</t>
        </is>
      </c>
      <c r="I838" t="inlineStr">
        <is>
          <t>925</t>
        </is>
      </c>
      <c r="J838" t="inlineStr">
        <is>
          <t>HL7 ValueSet expand (2026-06-09)</t>
        </is>
      </c>
      <c r="K838" t="inlineStr">
        <is>
          <t>false</t>
        </is>
      </c>
    </row>
    <row r="839">
      <c r="A839" t="inlineStr">
        <is>
          <t>Patient.race</t>
        </is>
      </c>
      <c r="B839" t="inlineStr">
        <is>
          <t>urn:oid:2.16.840.1.113883.6.238</t>
        </is>
      </c>
      <c r="C839" t="inlineStr">
        <is>
          <t>2019-8</t>
        </is>
      </c>
      <c r="D839" t="inlineStr">
        <is>
          <t>Qagan Toyagungin</t>
        </is>
      </c>
      <c r="E839" t="inlineStr">
        <is>
          <t>detailed</t>
        </is>
      </c>
      <c r="F839" t="inlineStr">
        <is>
          <t>primary</t>
        </is>
      </c>
      <c r="G839" t="inlineStr">
        <is>
          <t>required</t>
        </is>
      </c>
      <c r="H839" t="inlineStr">
        <is>
          <t>true</t>
        </is>
      </c>
      <c r="I839" t="inlineStr">
        <is>
          <t>926</t>
        </is>
      </c>
      <c r="J839" t="inlineStr">
        <is>
          <t>HL7 ValueSet expand (2026-06-09)</t>
        </is>
      </c>
      <c r="K839" t="inlineStr">
        <is>
          <t>false</t>
        </is>
      </c>
    </row>
    <row r="840">
      <c r="A840" t="inlineStr">
        <is>
          <t>Patient.race</t>
        </is>
      </c>
      <c r="B840" t="inlineStr">
        <is>
          <t>urn:oid:2.16.840.1.113883.6.238</t>
        </is>
      </c>
      <c r="C840" t="inlineStr">
        <is>
          <t>2020-6</t>
        </is>
      </c>
      <c r="D840" t="inlineStr">
        <is>
          <t>Qawalangin</t>
        </is>
      </c>
      <c r="E840" t="inlineStr">
        <is>
          <t>detailed</t>
        </is>
      </c>
      <c r="F840" t="inlineStr">
        <is>
          <t>primary</t>
        </is>
      </c>
      <c r="G840" t="inlineStr">
        <is>
          <t>required</t>
        </is>
      </c>
      <c r="H840" t="inlineStr">
        <is>
          <t>true</t>
        </is>
      </c>
      <c r="I840" t="inlineStr">
        <is>
          <t>927</t>
        </is>
      </c>
      <c r="J840" t="inlineStr">
        <is>
          <t>HL7 ValueSet expand (2026-06-09)</t>
        </is>
      </c>
      <c r="K840" t="inlineStr">
        <is>
          <t>false</t>
        </is>
      </c>
    </row>
    <row r="841">
      <c r="A841" t="inlineStr">
        <is>
          <t>Patient.race</t>
        </is>
      </c>
      <c r="B841" t="inlineStr">
        <is>
          <t>urn:oid:2.16.840.1.113883.6.238</t>
        </is>
      </c>
      <c r="C841" t="inlineStr">
        <is>
          <t>2021-4</t>
        </is>
      </c>
      <c r="D841" t="inlineStr">
        <is>
          <t>St. George</t>
        </is>
      </c>
      <c r="E841" t="inlineStr">
        <is>
          <t>detailed</t>
        </is>
      </c>
      <c r="F841" t="inlineStr">
        <is>
          <t>primary</t>
        </is>
      </c>
      <c r="G841" t="inlineStr">
        <is>
          <t>required</t>
        </is>
      </c>
      <c r="H841" t="inlineStr">
        <is>
          <t>true</t>
        </is>
      </c>
      <c r="I841" t="inlineStr">
        <is>
          <t>928</t>
        </is>
      </c>
      <c r="J841" t="inlineStr">
        <is>
          <t>HL7 ValueSet expand (2026-06-09)</t>
        </is>
      </c>
      <c r="K841" t="inlineStr">
        <is>
          <t>false</t>
        </is>
      </c>
    </row>
    <row r="842">
      <c r="A842" t="inlineStr">
        <is>
          <t>Patient.race</t>
        </is>
      </c>
      <c r="B842" t="inlineStr">
        <is>
          <t>urn:oid:2.16.840.1.113883.6.238</t>
        </is>
      </c>
      <c r="C842" t="inlineStr">
        <is>
          <t>2022-2</t>
        </is>
      </c>
      <c r="D842" t="inlineStr">
        <is>
          <t>St. Paul</t>
        </is>
      </c>
      <c r="E842" t="inlineStr">
        <is>
          <t>detailed</t>
        </is>
      </c>
      <c r="F842" t="inlineStr">
        <is>
          <t>primary</t>
        </is>
      </c>
      <c r="G842" t="inlineStr">
        <is>
          <t>required</t>
        </is>
      </c>
      <c r="H842" t="inlineStr">
        <is>
          <t>true</t>
        </is>
      </c>
      <c r="I842" t="inlineStr">
        <is>
          <t>929</t>
        </is>
      </c>
      <c r="J842" t="inlineStr">
        <is>
          <t>HL7 ValueSet expand (2026-06-09)</t>
        </is>
      </c>
      <c r="K842" t="inlineStr">
        <is>
          <t>false</t>
        </is>
      </c>
    </row>
    <row r="843">
      <c r="A843" t="inlineStr">
        <is>
          <t>Patient.race</t>
        </is>
      </c>
      <c r="B843" t="inlineStr">
        <is>
          <t>urn:oid:2.16.840.1.113883.6.238</t>
        </is>
      </c>
      <c r="C843" t="inlineStr">
        <is>
          <t>2023-0</t>
        </is>
      </c>
      <c r="D843" t="inlineStr">
        <is>
          <t>Sand Point</t>
        </is>
      </c>
      <c r="E843" t="inlineStr">
        <is>
          <t>detailed</t>
        </is>
      </c>
      <c r="F843" t="inlineStr">
        <is>
          <t>primary</t>
        </is>
      </c>
      <c r="G843" t="inlineStr">
        <is>
          <t>required</t>
        </is>
      </c>
      <c r="H843" t="inlineStr">
        <is>
          <t>true</t>
        </is>
      </c>
      <c r="I843" t="inlineStr">
        <is>
          <t>930</t>
        </is>
      </c>
      <c r="J843" t="inlineStr">
        <is>
          <t>HL7 ValueSet expand (2026-06-09)</t>
        </is>
      </c>
      <c r="K843" t="inlineStr">
        <is>
          <t>false</t>
        </is>
      </c>
    </row>
    <row r="844">
      <c r="A844" t="inlineStr">
        <is>
          <t>Patient.race</t>
        </is>
      </c>
      <c r="B844" t="inlineStr">
        <is>
          <t>urn:oid:2.16.840.1.113883.6.238</t>
        </is>
      </c>
      <c r="C844" t="inlineStr">
        <is>
          <t>2024-8</t>
        </is>
      </c>
      <c r="D844" t="inlineStr">
        <is>
          <t>South Naknek</t>
        </is>
      </c>
      <c r="E844" t="inlineStr">
        <is>
          <t>detailed</t>
        </is>
      </c>
      <c r="F844" t="inlineStr">
        <is>
          <t>primary</t>
        </is>
      </c>
      <c r="G844" t="inlineStr">
        <is>
          <t>required</t>
        </is>
      </c>
      <c r="H844" t="inlineStr">
        <is>
          <t>true</t>
        </is>
      </c>
      <c r="I844" t="inlineStr">
        <is>
          <t>931</t>
        </is>
      </c>
      <c r="J844" t="inlineStr">
        <is>
          <t>HL7 ValueSet expand (2026-06-09)</t>
        </is>
      </c>
      <c r="K844" t="inlineStr">
        <is>
          <t>false</t>
        </is>
      </c>
    </row>
    <row r="845">
      <c r="A845" t="inlineStr">
        <is>
          <t>Patient.race</t>
        </is>
      </c>
      <c r="B845" t="inlineStr">
        <is>
          <t>urn:oid:2.16.840.1.113883.6.238</t>
        </is>
      </c>
      <c r="C845" t="inlineStr">
        <is>
          <t>2025-5</t>
        </is>
      </c>
      <c r="D845" t="inlineStr">
        <is>
          <t>Unalaska</t>
        </is>
      </c>
      <c r="E845" t="inlineStr">
        <is>
          <t>detailed</t>
        </is>
      </c>
      <c r="F845" t="inlineStr">
        <is>
          <t>primary</t>
        </is>
      </c>
      <c r="G845" t="inlineStr">
        <is>
          <t>required</t>
        </is>
      </c>
      <c r="H845" t="inlineStr">
        <is>
          <t>true</t>
        </is>
      </c>
      <c r="I845" t="inlineStr">
        <is>
          <t>932</t>
        </is>
      </c>
      <c r="J845" t="inlineStr">
        <is>
          <t>HL7 ValueSet expand (2026-06-09)</t>
        </is>
      </c>
      <c r="K845" t="inlineStr">
        <is>
          <t>false</t>
        </is>
      </c>
    </row>
    <row r="846">
      <c r="A846" t="inlineStr">
        <is>
          <t>Patient.race</t>
        </is>
      </c>
      <c r="B846" t="inlineStr">
        <is>
          <t>urn:oid:2.16.840.1.113883.6.238</t>
        </is>
      </c>
      <c r="C846" t="inlineStr">
        <is>
          <t>2026-3</t>
        </is>
      </c>
      <c r="D846" t="inlineStr">
        <is>
          <t>Unga</t>
        </is>
      </c>
      <c r="E846" t="inlineStr">
        <is>
          <t>detailed</t>
        </is>
      </c>
      <c r="F846" t="inlineStr">
        <is>
          <t>primary</t>
        </is>
      </c>
      <c r="G846" t="inlineStr">
        <is>
          <t>required</t>
        </is>
      </c>
      <c r="H846" t="inlineStr">
        <is>
          <t>true</t>
        </is>
      </c>
      <c r="I846" t="inlineStr">
        <is>
          <t>933</t>
        </is>
      </c>
      <c r="J846" t="inlineStr">
        <is>
          <t>HL7 ValueSet expand (2026-06-09)</t>
        </is>
      </c>
      <c r="K846" t="inlineStr">
        <is>
          <t>false</t>
        </is>
      </c>
    </row>
    <row r="847">
      <c r="A847" t="inlineStr">
        <is>
          <t>Patient.race</t>
        </is>
      </c>
      <c r="B847" t="inlineStr">
        <is>
          <t>urn:oid:2.16.840.1.113883.6.238</t>
        </is>
      </c>
      <c r="C847" t="inlineStr">
        <is>
          <t>2029-7</t>
        </is>
      </c>
      <c r="D847" t="inlineStr">
        <is>
          <t>Asian Indian</t>
        </is>
      </c>
      <c r="E847" t="inlineStr">
        <is>
          <t>detailed</t>
        </is>
      </c>
      <c r="F847" t="inlineStr">
        <is>
          <t>primary</t>
        </is>
      </c>
      <c r="G847" t="inlineStr">
        <is>
          <t>required</t>
        </is>
      </c>
      <c r="H847" t="inlineStr">
        <is>
          <t>true</t>
        </is>
      </c>
      <c r="I847" t="inlineStr">
        <is>
          <t>934</t>
        </is>
      </c>
      <c r="J847" t="inlineStr">
        <is>
          <t>HL7 ValueSet expand (2026-06-09)</t>
        </is>
      </c>
      <c r="K847" t="inlineStr">
        <is>
          <t>false</t>
        </is>
      </c>
    </row>
    <row r="848">
      <c r="A848" t="inlineStr">
        <is>
          <t>Patient.race</t>
        </is>
      </c>
      <c r="B848" t="inlineStr">
        <is>
          <t>urn:oid:2.16.840.1.113883.6.238</t>
        </is>
      </c>
      <c r="C848" t="inlineStr">
        <is>
          <t>2030-5</t>
        </is>
      </c>
      <c r="D848" t="inlineStr">
        <is>
          <t>Bangladeshi</t>
        </is>
      </c>
      <c r="E848" t="inlineStr">
        <is>
          <t>detailed</t>
        </is>
      </c>
      <c r="F848" t="inlineStr">
        <is>
          <t>primary</t>
        </is>
      </c>
      <c r="G848" t="inlineStr">
        <is>
          <t>required</t>
        </is>
      </c>
      <c r="H848" t="inlineStr">
        <is>
          <t>true</t>
        </is>
      </c>
      <c r="I848" t="inlineStr">
        <is>
          <t>935</t>
        </is>
      </c>
      <c r="J848" t="inlineStr">
        <is>
          <t>HL7 ValueSet expand (2026-06-09)</t>
        </is>
      </c>
      <c r="K848" t="inlineStr">
        <is>
          <t>false</t>
        </is>
      </c>
    </row>
    <row r="849">
      <c r="A849" t="inlineStr">
        <is>
          <t>Patient.race</t>
        </is>
      </c>
      <c r="B849" t="inlineStr">
        <is>
          <t>urn:oid:2.16.840.1.113883.6.238</t>
        </is>
      </c>
      <c r="C849" t="inlineStr">
        <is>
          <t>2031-3</t>
        </is>
      </c>
      <c r="D849" t="inlineStr">
        <is>
          <t>Bhutanese</t>
        </is>
      </c>
      <c r="E849" t="inlineStr">
        <is>
          <t>detailed</t>
        </is>
      </c>
      <c r="F849" t="inlineStr">
        <is>
          <t>primary</t>
        </is>
      </c>
      <c r="G849" t="inlineStr">
        <is>
          <t>required</t>
        </is>
      </c>
      <c r="H849" t="inlineStr">
        <is>
          <t>true</t>
        </is>
      </c>
      <c r="I849" t="inlineStr">
        <is>
          <t>936</t>
        </is>
      </c>
      <c r="J849" t="inlineStr">
        <is>
          <t>HL7 ValueSet expand (2026-06-09)</t>
        </is>
      </c>
      <c r="K849" t="inlineStr">
        <is>
          <t>false</t>
        </is>
      </c>
    </row>
    <row r="850">
      <c r="A850" t="inlineStr">
        <is>
          <t>Patient.race</t>
        </is>
      </c>
      <c r="B850" t="inlineStr">
        <is>
          <t>urn:oid:2.16.840.1.113883.6.238</t>
        </is>
      </c>
      <c r="C850" t="inlineStr">
        <is>
          <t>2032-1</t>
        </is>
      </c>
      <c r="D850" t="inlineStr">
        <is>
          <t>Burmese</t>
        </is>
      </c>
      <c r="E850" t="inlineStr">
        <is>
          <t>detailed</t>
        </is>
      </c>
      <c r="F850" t="inlineStr">
        <is>
          <t>primary</t>
        </is>
      </c>
      <c r="G850" t="inlineStr">
        <is>
          <t>required</t>
        </is>
      </c>
      <c r="H850" t="inlineStr">
        <is>
          <t>true</t>
        </is>
      </c>
      <c r="I850" t="inlineStr">
        <is>
          <t>937</t>
        </is>
      </c>
      <c r="J850" t="inlineStr">
        <is>
          <t>HL7 ValueSet expand (2026-06-09)</t>
        </is>
      </c>
      <c r="K850" t="inlineStr">
        <is>
          <t>false</t>
        </is>
      </c>
    </row>
    <row r="851">
      <c r="A851" t="inlineStr">
        <is>
          <t>Patient.race</t>
        </is>
      </c>
      <c r="B851" t="inlineStr">
        <is>
          <t>urn:oid:2.16.840.1.113883.6.238</t>
        </is>
      </c>
      <c r="C851" t="inlineStr">
        <is>
          <t>2033-9</t>
        </is>
      </c>
      <c r="D851" t="inlineStr">
        <is>
          <t>Cambodian</t>
        </is>
      </c>
      <c r="E851" t="inlineStr">
        <is>
          <t>detailed</t>
        </is>
      </c>
      <c r="F851" t="inlineStr">
        <is>
          <t>primary</t>
        </is>
      </c>
      <c r="G851" t="inlineStr">
        <is>
          <t>required</t>
        </is>
      </c>
      <c r="H851" t="inlineStr">
        <is>
          <t>true</t>
        </is>
      </c>
      <c r="I851" t="inlineStr">
        <is>
          <t>938</t>
        </is>
      </c>
      <c r="J851" t="inlineStr">
        <is>
          <t>HL7 ValueSet expand (2026-06-09)</t>
        </is>
      </c>
      <c r="K851" t="inlineStr">
        <is>
          <t>false</t>
        </is>
      </c>
    </row>
    <row r="852">
      <c r="A852" t="inlineStr">
        <is>
          <t>Patient.race</t>
        </is>
      </c>
      <c r="B852" t="inlineStr">
        <is>
          <t>urn:oid:2.16.840.1.113883.6.238</t>
        </is>
      </c>
      <c r="C852" t="inlineStr">
        <is>
          <t>2034-7</t>
        </is>
      </c>
      <c r="D852" t="inlineStr">
        <is>
          <t>Chinese</t>
        </is>
      </c>
      <c r="E852" t="inlineStr">
        <is>
          <t>detailed</t>
        </is>
      </c>
      <c r="F852" t="inlineStr">
        <is>
          <t>primary</t>
        </is>
      </c>
      <c r="G852" t="inlineStr">
        <is>
          <t>required</t>
        </is>
      </c>
      <c r="H852" t="inlineStr">
        <is>
          <t>true</t>
        </is>
      </c>
      <c r="I852" t="inlineStr">
        <is>
          <t>939</t>
        </is>
      </c>
      <c r="J852" t="inlineStr">
        <is>
          <t>HL7 ValueSet expand (2026-06-09)</t>
        </is>
      </c>
      <c r="K852" t="inlineStr">
        <is>
          <t>false</t>
        </is>
      </c>
    </row>
    <row r="853">
      <c r="A853" t="inlineStr">
        <is>
          <t>Patient.race</t>
        </is>
      </c>
      <c r="B853" t="inlineStr">
        <is>
          <t>urn:oid:2.16.840.1.113883.6.238</t>
        </is>
      </c>
      <c r="C853" t="inlineStr">
        <is>
          <t>2035-4</t>
        </is>
      </c>
      <c r="D853" t="inlineStr">
        <is>
          <t>Taiwanese</t>
        </is>
      </c>
      <c r="E853" t="inlineStr">
        <is>
          <t>detailed</t>
        </is>
      </c>
      <c r="F853" t="inlineStr">
        <is>
          <t>primary</t>
        </is>
      </c>
      <c r="G853" t="inlineStr">
        <is>
          <t>required</t>
        </is>
      </c>
      <c r="H853" t="inlineStr">
        <is>
          <t>true</t>
        </is>
      </c>
      <c r="I853" t="inlineStr">
        <is>
          <t>940</t>
        </is>
      </c>
      <c r="J853" t="inlineStr">
        <is>
          <t>HL7 ValueSet expand (2026-06-09)</t>
        </is>
      </c>
      <c r="K853" t="inlineStr">
        <is>
          <t>false</t>
        </is>
      </c>
    </row>
    <row r="854">
      <c r="A854" t="inlineStr">
        <is>
          <t>Patient.race</t>
        </is>
      </c>
      <c r="B854" t="inlineStr">
        <is>
          <t>urn:oid:2.16.840.1.113883.6.238</t>
        </is>
      </c>
      <c r="C854" t="inlineStr">
        <is>
          <t>2036-2</t>
        </is>
      </c>
      <c r="D854" t="inlineStr">
        <is>
          <t>Filipino</t>
        </is>
      </c>
      <c r="E854" t="inlineStr">
        <is>
          <t>detailed</t>
        </is>
      </c>
      <c r="F854" t="inlineStr">
        <is>
          <t>primary</t>
        </is>
      </c>
      <c r="G854" t="inlineStr">
        <is>
          <t>required</t>
        </is>
      </c>
      <c r="H854" t="inlineStr">
        <is>
          <t>true</t>
        </is>
      </c>
      <c r="I854" t="inlineStr">
        <is>
          <t>941</t>
        </is>
      </c>
      <c r="J854" t="inlineStr">
        <is>
          <t>HL7 ValueSet expand (2026-06-09)</t>
        </is>
      </c>
      <c r="K854" t="inlineStr">
        <is>
          <t>false</t>
        </is>
      </c>
    </row>
    <row r="855">
      <c r="A855" t="inlineStr">
        <is>
          <t>Patient.race</t>
        </is>
      </c>
      <c r="B855" t="inlineStr">
        <is>
          <t>urn:oid:2.16.840.1.113883.6.238</t>
        </is>
      </c>
      <c r="C855" t="inlineStr">
        <is>
          <t>2037-0</t>
        </is>
      </c>
      <c r="D855" t="inlineStr">
        <is>
          <t>Hmong</t>
        </is>
      </c>
      <c r="E855" t="inlineStr">
        <is>
          <t>detailed</t>
        </is>
      </c>
      <c r="F855" t="inlineStr">
        <is>
          <t>primary</t>
        </is>
      </c>
      <c r="G855" t="inlineStr">
        <is>
          <t>required</t>
        </is>
      </c>
      <c r="H855" t="inlineStr">
        <is>
          <t>true</t>
        </is>
      </c>
      <c r="I855" t="inlineStr">
        <is>
          <t>942</t>
        </is>
      </c>
      <c r="J855" t="inlineStr">
        <is>
          <t>HL7 ValueSet expand (2026-06-09)</t>
        </is>
      </c>
      <c r="K855" t="inlineStr">
        <is>
          <t>false</t>
        </is>
      </c>
    </row>
    <row r="856">
      <c r="A856" t="inlineStr">
        <is>
          <t>Patient.race</t>
        </is>
      </c>
      <c r="B856" t="inlineStr">
        <is>
          <t>urn:oid:2.16.840.1.113883.6.238</t>
        </is>
      </c>
      <c r="C856" t="inlineStr">
        <is>
          <t>2038-8</t>
        </is>
      </c>
      <c r="D856" t="inlineStr">
        <is>
          <t>Indonesian</t>
        </is>
      </c>
      <c r="E856" t="inlineStr">
        <is>
          <t>detailed</t>
        </is>
      </c>
      <c r="F856" t="inlineStr">
        <is>
          <t>primary</t>
        </is>
      </c>
      <c r="G856" t="inlineStr">
        <is>
          <t>required</t>
        </is>
      </c>
      <c r="H856" t="inlineStr">
        <is>
          <t>true</t>
        </is>
      </c>
      <c r="I856" t="inlineStr">
        <is>
          <t>943</t>
        </is>
      </c>
      <c r="J856" t="inlineStr">
        <is>
          <t>HL7 ValueSet expand (2026-06-09)</t>
        </is>
      </c>
      <c r="K856" t="inlineStr">
        <is>
          <t>false</t>
        </is>
      </c>
    </row>
    <row r="857">
      <c r="A857" t="inlineStr">
        <is>
          <t>Patient.race</t>
        </is>
      </c>
      <c r="B857" t="inlineStr">
        <is>
          <t>urn:oid:2.16.840.1.113883.6.238</t>
        </is>
      </c>
      <c r="C857" t="inlineStr">
        <is>
          <t>2039-6</t>
        </is>
      </c>
      <c r="D857" t="inlineStr">
        <is>
          <t>Japanese</t>
        </is>
      </c>
      <c r="E857" t="inlineStr">
        <is>
          <t>detailed</t>
        </is>
      </c>
      <c r="F857" t="inlineStr">
        <is>
          <t>primary</t>
        </is>
      </c>
      <c r="G857" t="inlineStr">
        <is>
          <t>required</t>
        </is>
      </c>
      <c r="H857" t="inlineStr">
        <is>
          <t>true</t>
        </is>
      </c>
      <c r="I857" t="inlineStr">
        <is>
          <t>944</t>
        </is>
      </c>
      <c r="J857" t="inlineStr">
        <is>
          <t>HL7 ValueSet expand (2026-06-09)</t>
        </is>
      </c>
      <c r="K857" t="inlineStr">
        <is>
          <t>false</t>
        </is>
      </c>
    </row>
    <row r="858">
      <c r="A858" t="inlineStr">
        <is>
          <t>Patient.race</t>
        </is>
      </c>
      <c r="B858" t="inlineStr">
        <is>
          <t>urn:oid:2.16.840.1.113883.6.238</t>
        </is>
      </c>
      <c r="C858" t="inlineStr">
        <is>
          <t>2040-4</t>
        </is>
      </c>
      <c r="D858" t="inlineStr">
        <is>
          <t>Korean</t>
        </is>
      </c>
      <c r="E858" t="inlineStr">
        <is>
          <t>detailed</t>
        </is>
      </c>
      <c r="F858" t="inlineStr">
        <is>
          <t>primary</t>
        </is>
      </c>
      <c r="G858" t="inlineStr">
        <is>
          <t>required</t>
        </is>
      </c>
      <c r="H858" t="inlineStr">
        <is>
          <t>true</t>
        </is>
      </c>
      <c r="I858" t="inlineStr">
        <is>
          <t>945</t>
        </is>
      </c>
      <c r="J858" t="inlineStr">
        <is>
          <t>HL7 ValueSet expand (2026-06-09)</t>
        </is>
      </c>
      <c r="K858" t="inlineStr">
        <is>
          <t>false</t>
        </is>
      </c>
    </row>
    <row r="859">
      <c r="A859" t="inlineStr">
        <is>
          <t>Patient.race</t>
        </is>
      </c>
      <c r="B859" t="inlineStr">
        <is>
          <t>urn:oid:2.16.840.1.113883.6.238</t>
        </is>
      </c>
      <c r="C859" t="inlineStr">
        <is>
          <t>2041-2</t>
        </is>
      </c>
      <c r="D859" t="inlineStr">
        <is>
          <t>Laotian</t>
        </is>
      </c>
      <c r="E859" t="inlineStr">
        <is>
          <t>detailed</t>
        </is>
      </c>
      <c r="F859" t="inlineStr">
        <is>
          <t>primary</t>
        </is>
      </c>
      <c r="G859" t="inlineStr">
        <is>
          <t>required</t>
        </is>
      </c>
      <c r="H859" t="inlineStr">
        <is>
          <t>true</t>
        </is>
      </c>
      <c r="I859" t="inlineStr">
        <is>
          <t>946</t>
        </is>
      </c>
      <c r="J859" t="inlineStr">
        <is>
          <t>HL7 ValueSet expand (2026-06-09)</t>
        </is>
      </c>
      <c r="K859" t="inlineStr">
        <is>
          <t>false</t>
        </is>
      </c>
    </row>
    <row r="860">
      <c r="A860" t="inlineStr">
        <is>
          <t>Patient.race</t>
        </is>
      </c>
      <c r="B860" t="inlineStr">
        <is>
          <t>urn:oid:2.16.840.1.113883.6.238</t>
        </is>
      </c>
      <c r="C860" t="inlineStr">
        <is>
          <t>2042-0</t>
        </is>
      </c>
      <c r="D860" t="inlineStr">
        <is>
          <t>Malaysian</t>
        </is>
      </c>
      <c r="E860" t="inlineStr">
        <is>
          <t>detailed</t>
        </is>
      </c>
      <c r="F860" t="inlineStr">
        <is>
          <t>primary</t>
        </is>
      </c>
      <c r="G860" t="inlineStr">
        <is>
          <t>required</t>
        </is>
      </c>
      <c r="H860" t="inlineStr">
        <is>
          <t>true</t>
        </is>
      </c>
      <c r="I860" t="inlineStr">
        <is>
          <t>947</t>
        </is>
      </c>
      <c r="J860" t="inlineStr">
        <is>
          <t>HL7 ValueSet expand (2026-06-09)</t>
        </is>
      </c>
      <c r="K860" t="inlineStr">
        <is>
          <t>false</t>
        </is>
      </c>
    </row>
    <row r="861">
      <c r="A861" t="inlineStr">
        <is>
          <t>Patient.race</t>
        </is>
      </c>
      <c r="B861" t="inlineStr">
        <is>
          <t>urn:oid:2.16.840.1.113883.6.238</t>
        </is>
      </c>
      <c r="C861" t="inlineStr">
        <is>
          <t>2043-8</t>
        </is>
      </c>
      <c r="D861" t="inlineStr">
        <is>
          <t>Okinawan</t>
        </is>
      </c>
      <c r="E861" t="inlineStr">
        <is>
          <t>detailed</t>
        </is>
      </c>
      <c r="F861" t="inlineStr">
        <is>
          <t>primary</t>
        </is>
      </c>
      <c r="G861" t="inlineStr">
        <is>
          <t>required</t>
        </is>
      </c>
      <c r="H861" t="inlineStr">
        <is>
          <t>true</t>
        </is>
      </c>
      <c r="I861" t="inlineStr">
        <is>
          <t>948</t>
        </is>
      </c>
      <c r="J861" t="inlineStr">
        <is>
          <t>HL7 ValueSet expand (2026-06-09)</t>
        </is>
      </c>
      <c r="K861" t="inlineStr">
        <is>
          <t>false</t>
        </is>
      </c>
    </row>
    <row r="862">
      <c r="A862" t="inlineStr">
        <is>
          <t>Patient.race</t>
        </is>
      </c>
      <c r="B862" t="inlineStr">
        <is>
          <t>urn:oid:2.16.840.1.113883.6.238</t>
        </is>
      </c>
      <c r="C862" t="inlineStr">
        <is>
          <t>2044-6</t>
        </is>
      </c>
      <c r="D862" t="inlineStr">
        <is>
          <t>Pakistani</t>
        </is>
      </c>
      <c r="E862" t="inlineStr">
        <is>
          <t>detailed</t>
        </is>
      </c>
      <c r="F862" t="inlineStr">
        <is>
          <t>primary</t>
        </is>
      </c>
      <c r="G862" t="inlineStr">
        <is>
          <t>required</t>
        </is>
      </c>
      <c r="H862" t="inlineStr">
        <is>
          <t>true</t>
        </is>
      </c>
      <c r="I862" t="inlineStr">
        <is>
          <t>949</t>
        </is>
      </c>
      <c r="J862" t="inlineStr">
        <is>
          <t>HL7 ValueSet expand (2026-06-09)</t>
        </is>
      </c>
      <c r="K862" t="inlineStr">
        <is>
          <t>false</t>
        </is>
      </c>
    </row>
    <row r="863">
      <c r="A863" t="inlineStr">
        <is>
          <t>Patient.race</t>
        </is>
      </c>
      <c r="B863" t="inlineStr">
        <is>
          <t>urn:oid:2.16.840.1.113883.6.238</t>
        </is>
      </c>
      <c r="C863" t="inlineStr">
        <is>
          <t>2045-3</t>
        </is>
      </c>
      <c r="D863" t="inlineStr">
        <is>
          <t>Sri Lankan</t>
        </is>
      </c>
      <c r="E863" t="inlineStr">
        <is>
          <t>detailed</t>
        </is>
      </c>
      <c r="F863" t="inlineStr">
        <is>
          <t>primary</t>
        </is>
      </c>
      <c r="G863" t="inlineStr">
        <is>
          <t>required</t>
        </is>
      </c>
      <c r="H863" t="inlineStr">
        <is>
          <t>true</t>
        </is>
      </c>
      <c r="I863" t="inlineStr">
        <is>
          <t>950</t>
        </is>
      </c>
      <c r="J863" t="inlineStr">
        <is>
          <t>HL7 ValueSet expand (2026-06-09)</t>
        </is>
      </c>
      <c r="K863" t="inlineStr">
        <is>
          <t>false</t>
        </is>
      </c>
    </row>
    <row r="864">
      <c r="A864" t="inlineStr">
        <is>
          <t>Patient.race</t>
        </is>
      </c>
      <c r="B864" t="inlineStr">
        <is>
          <t>urn:oid:2.16.840.1.113883.6.238</t>
        </is>
      </c>
      <c r="C864" t="inlineStr">
        <is>
          <t>2046-1</t>
        </is>
      </c>
      <c r="D864" t="inlineStr">
        <is>
          <t>Thai</t>
        </is>
      </c>
      <c r="E864" t="inlineStr">
        <is>
          <t>detailed</t>
        </is>
      </c>
      <c r="F864" t="inlineStr">
        <is>
          <t>primary</t>
        </is>
      </c>
      <c r="G864" t="inlineStr">
        <is>
          <t>required</t>
        </is>
      </c>
      <c r="H864" t="inlineStr">
        <is>
          <t>true</t>
        </is>
      </c>
      <c r="I864" t="inlineStr">
        <is>
          <t>951</t>
        </is>
      </c>
      <c r="J864" t="inlineStr">
        <is>
          <t>HL7 ValueSet expand (2026-06-09)</t>
        </is>
      </c>
      <c r="K864" t="inlineStr">
        <is>
          <t>false</t>
        </is>
      </c>
    </row>
    <row r="865">
      <c r="A865" t="inlineStr">
        <is>
          <t>Patient.race</t>
        </is>
      </c>
      <c r="B865" t="inlineStr">
        <is>
          <t>urn:oid:2.16.840.1.113883.6.238</t>
        </is>
      </c>
      <c r="C865" t="inlineStr">
        <is>
          <t>2047-9</t>
        </is>
      </c>
      <c r="D865" t="inlineStr">
        <is>
          <t>Vietnamese</t>
        </is>
      </c>
      <c r="E865" t="inlineStr">
        <is>
          <t>detailed</t>
        </is>
      </c>
      <c r="F865" t="inlineStr">
        <is>
          <t>primary</t>
        </is>
      </c>
      <c r="G865" t="inlineStr">
        <is>
          <t>required</t>
        </is>
      </c>
      <c r="H865" t="inlineStr">
        <is>
          <t>true</t>
        </is>
      </c>
      <c r="I865" t="inlineStr">
        <is>
          <t>952</t>
        </is>
      </c>
      <c r="J865" t="inlineStr">
        <is>
          <t>HL7 ValueSet expand (2026-06-09)</t>
        </is>
      </c>
      <c r="K865" t="inlineStr">
        <is>
          <t>false</t>
        </is>
      </c>
    </row>
    <row r="866">
      <c r="A866" t="inlineStr">
        <is>
          <t>Patient.race</t>
        </is>
      </c>
      <c r="B866" t="inlineStr">
        <is>
          <t>urn:oid:2.16.840.1.113883.6.238</t>
        </is>
      </c>
      <c r="C866" t="inlineStr">
        <is>
          <t>2048-7</t>
        </is>
      </c>
      <c r="D866" t="inlineStr">
        <is>
          <t>Iwo Jiman</t>
        </is>
      </c>
      <c r="E866" t="inlineStr">
        <is>
          <t>detailed</t>
        </is>
      </c>
      <c r="F866" t="inlineStr">
        <is>
          <t>primary</t>
        </is>
      </c>
      <c r="G866" t="inlineStr">
        <is>
          <t>required</t>
        </is>
      </c>
      <c r="H866" t="inlineStr">
        <is>
          <t>true</t>
        </is>
      </c>
      <c r="I866" t="inlineStr">
        <is>
          <t>953</t>
        </is>
      </c>
      <c r="J866" t="inlineStr">
        <is>
          <t>HL7 ValueSet expand (2026-06-09)</t>
        </is>
      </c>
      <c r="K866" t="inlineStr">
        <is>
          <t>false</t>
        </is>
      </c>
    </row>
    <row r="867">
      <c r="A867" t="inlineStr">
        <is>
          <t>Patient.race</t>
        </is>
      </c>
      <c r="B867" t="inlineStr">
        <is>
          <t>urn:oid:2.16.840.1.113883.6.238</t>
        </is>
      </c>
      <c r="C867" t="inlineStr">
        <is>
          <t>2049-5</t>
        </is>
      </c>
      <c r="D867" t="inlineStr">
        <is>
          <t>Maldivian</t>
        </is>
      </c>
      <c r="E867" t="inlineStr">
        <is>
          <t>detailed</t>
        </is>
      </c>
      <c r="F867" t="inlineStr">
        <is>
          <t>primary</t>
        </is>
      </c>
      <c r="G867" t="inlineStr">
        <is>
          <t>required</t>
        </is>
      </c>
      <c r="H867" t="inlineStr">
        <is>
          <t>true</t>
        </is>
      </c>
      <c r="I867" t="inlineStr">
        <is>
          <t>954</t>
        </is>
      </c>
      <c r="J867" t="inlineStr">
        <is>
          <t>HL7 ValueSet expand (2026-06-09)</t>
        </is>
      </c>
      <c r="K867" t="inlineStr">
        <is>
          <t>false</t>
        </is>
      </c>
    </row>
    <row r="868">
      <c r="A868" t="inlineStr">
        <is>
          <t>Patient.race</t>
        </is>
      </c>
      <c r="B868" t="inlineStr">
        <is>
          <t>urn:oid:2.16.840.1.113883.6.238</t>
        </is>
      </c>
      <c r="C868" t="inlineStr">
        <is>
          <t>2050-3</t>
        </is>
      </c>
      <c r="D868" t="inlineStr">
        <is>
          <t>Nepalese</t>
        </is>
      </c>
      <c r="E868" t="inlineStr">
        <is>
          <t>detailed</t>
        </is>
      </c>
      <c r="F868" t="inlineStr">
        <is>
          <t>primary</t>
        </is>
      </c>
      <c r="G868" t="inlineStr">
        <is>
          <t>required</t>
        </is>
      </c>
      <c r="H868" t="inlineStr">
        <is>
          <t>true</t>
        </is>
      </c>
      <c r="I868" t="inlineStr">
        <is>
          <t>955</t>
        </is>
      </c>
      <c r="J868" t="inlineStr">
        <is>
          <t>HL7 ValueSet expand (2026-06-09)</t>
        </is>
      </c>
      <c r="K868" t="inlineStr">
        <is>
          <t>false</t>
        </is>
      </c>
    </row>
    <row r="869">
      <c r="A869" t="inlineStr">
        <is>
          <t>Patient.race</t>
        </is>
      </c>
      <c r="B869" t="inlineStr">
        <is>
          <t>urn:oid:2.16.840.1.113883.6.238</t>
        </is>
      </c>
      <c r="C869" t="inlineStr">
        <is>
          <t>2051-1</t>
        </is>
      </c>
      <c r="D869" t="inlineStr">
        <is>
          <t>Singaporean</t>
        </is>
      </c>
      <c r="E869" t="inlineStr">
        <is>
          <t>detailed</t>
        </is>
      </c>
      <c r="F869" t="inlineStr">
        <is>
          <t>primary</t>
        </is>
      </c>
      <c r="G869" t="inlineStr">
        <is>
          <t>required</t>
        </is>
      </c>
      <c r="H869" t="inlineStr">
        <is>
          <t>true</t>
        </is>
      </c>
      <c r="I869" t="inlineStr">
        <is>
          <t>956</t>
        </is>
      </c>
      <c r="J869" t="inlineStr">
        <is>
          <t>HL7 ValueSet expand (2026-06-09)</t>
        </is>
      </c>
      <c r="K869" t="inlineStr">
        <is>
          <t>false</t>
        </is>
      </c>
    </row>
    <row r="870">
      <c r="A870" t="inlineStr">
        <is>
          <t>Patient.race</t>
        </is>
      </c>
      <c r="B870" t="inlineStr">
        <is>
          <t>urn:oid:2.16.840.1.113883.6.238</t>
        </is>
      </c>
      <c r="C870" t="inlineStr">
        <is>
          <t>2052-9</t>
        </is>
      </c>
      <c r="D870" t="inlineStr">
        <is>
          <t>Madagascar</t>
        </is>
      </c>
      <c r="E870" t="inlineStr">
        <is>
          <t>detailed</t>
        </is>
      </c>
      <c r="F870" t="inlineStr">
        <is>
          <t>primary</t>
        </is>
      </c>
      <c r="G870" t="inlineStr">
        <is>
          <t>required</t>
        </is>
      </c>
      <c r="H870" t="inlineStr">
        <is>
          <t>true</t>
        </is>
      </c>
      <c r="I870" t="inlineStr">
        <is>
          <t>957</t>
        </is>
      </c>
      <c r="J870" t="inlineStr">
        <is>
          <t>HL7 ValueSet expand (2026-06-09)</t>
        </is>
      </c>
      <c r="K870" t="inlineStr">
        <is>
          <t>false</t>
        </is>
      </c>
    </row>
    <row r="871">
      <c r="A871" t="inlineStr">
        <is>
          <t>Patient.race</t>
        </is>
      </c>
      <c r="B871" t="inlineStr">
        <is>
          <t>urn:oid:2.16.840.1.113883.6.238</t>
        </is>
      </c>
      <c r="C871" t="inlineStr">
        <is>
          <t>2056-0</t>
        </is>
      </c>
      <c r="D871" t="inlineStr">
        <is>
          <t>Black</t>
        </is>
      </c>
      <c r="E871" t="inlineStr">
        <is>
          <t>detailed</t>
        </is>
      </c>
      <c r="F871" t="inlineStr">
        <is>
          <t>primary</t>
        </is>
      </c>
      <c r="G871" t="inlineStr">
        <is>
          <t>required</t>
        </is>
      </c>
      <c r="H871" t="inlineStr">
        <is>
          <t>true</t>
        </is>
      </c>
      <c r="I871" t="inlineStr">
        <is>
          <t>958</t>
        </is>
      </c>
      <c r="J871" t="inlineStr">
        <is>
          <t>HL7 ValueSet expand (2026-06-09)</t>
        </is>
      </c>
      <c r="K871" t="inlineStr">
        <is>
          <t>false</t>
        </is>
      </c>
    </row>
    <row r="872">
      <c r="A872" t="inlineStr">
        <is>
          <t>Patient.race</t>
        </is>
      </c>
      <c r="B872" t="inlineStr">
        <is>
          <t>urn:oid:2.16.840.1.113883.6.238</t>
        </is>
      </c>
      <c r="C872" t="inlineStr">
        <is>
          <t>2058-6</t>
        </is>
      </c>
      <c r="D872" t="inlineStr">
        <is>
          <t>African American</t>
        </is>
      </c>
      <c r="E872" t="inlineStr">
        <is>
          <t>detailed</t>
        </is>
      </c>
      <c r="F872" t="inlineStr">
        <is>
          <t>primary</t>
        </is>
      </c>
      <c r="G872" t="inlineStr">
        <is>
          <t>required</t>
        </is>
      </c>
      <c r="H872" t="inlineStr">
        <is>
          <t>true</t>
        </is>
      </c>
      <c r="I872" t="inlineStr">
        <is>
          <t>959</t>
        </is>
      </c>
      <c r="J872" t="inlineStr">
        <is>
          <t>HL7 ValueSet expand (2026-06-09)</t>
        </is>
      </c>
      <c r="K872" t="inlineStr">
        <is>
          <t>false</t>
        </is>
      </c>
    </row>
    <row r="873">
      <c r="A873" t="inlineStr">
        <is>
          <t>Patient.race</t>
        </is>
      </c>
      <c r="B873" t="inlineStr">
        <is>
          <t>urn:oid:2.16.840.1.113883.6.238</t>
        </is>
      </c>
      <c r="C873" t="inlineStr">
        <is>
          <t>2060-2</t>
        </is>
      </c>
      <c r="D873" t="inlineStr">
        <is>
          <t>African</t>
        </is>
      </c>
      <c r="E873" t="inlineStr">
        <is>
          <t>detailed</t>
        </is>
      </c>
      <c r="F873" t="inlineStr">
        <is>
          <t>primary</t>
        </is>
      </c>
      <c r="G873" t="inlineStr">
        <is>
          <t>required</t>
        </is>
      </c>
      <c r="H873" t="inlineStr">
        <is>
          <t>true</t>
        </is>
      </c>
      <c r="I873" t="inlineStr">
        <is>
          <t>960</t>
        </is>
      </c>
      <c r="J873" t="inlineStr">
        <is>
          <t>HL7 ValueSet expand (2026-06-09)</t>
        </is>
      </c>
      <c r="K873" t="inlineStr">
        <is>
          <t>false</t>
        </is>
      </c>
    </row>
    <row r="874">
      <c r="A874" t="inlineStr">
        <is>
          <t>Patient.race</t>
        </is>
      </c>
      <c r="B874" t="inlineStr">
        <is>
          <t>urn:oid:2.16.840.1.113883.6.238</t>
        </is>
      </c>
      <c r="C874" t="inlineStr">
        <is>
          <t>2061-0</t>
        </is>
      </c>
      <c r="D874" t="inlineStr">
        <is>
          <t>Botswanan</t>
        </is>
      </c>
      <c r="E874" t="inlineStr">
        <is>
          <t>detailed</t>
        </is>
      </c>
      <c r="F874" t="inlineStr">
        <is>
          <t>primary</t>
        </is>
      </c>
      <c r="G874" t="inlineStr">
        <is>
          <t>required</t>
        </is>
      </c>
      <c r="H874" t="inlineStr">
        <is>
          <t>true</t>
        </is>
      </c>
      <c r="I874" t="inlineStr">
        <is>
          <t>961</t>
        </is>
      </c>
      <c r="J874" t="inlineStr">
        <is>
          <t>HL7 ValueSet expand (2026-06-09)</t>
        </is>
      </c>
      <c r="K874" t="inlineStr">
        <is>
          <t>false</t>
        </is>
      </c>
    </row>
    <row r="875">
      <c r="A875" t="inlineStr">
        <is>
          <t>Patient.race</t>
        </is>
      </c>
      <c r="B875" t="inlineStr">
        <is>
          <t>urn:oid:2.16.840.1.113883.6.238</t>
        </is>
      </c>
      <c r="C875" t="inlineStr">
        <is>
          <t>2062-8</t>
        </is>
      </c>
      <c r="D875" t="inlineStr">
        <is>
          <t>Ethiopian</t>
        </is>
      </c>
      <c r="E875" t="inlineStr">
        <is>
          <t>detailed</t>
        </is>
      </c>
      <c r="F875" t="inlineStr">
        <is>
          <t>primary</t>
        </is>
      </c>
      <c r="G875" t="inlineStr">
        <is>
          <t>required</t>
        </is>
      </c>
      <c r="H875" t="inlineStr">
        <is>
          <t>true</t>
        </is>
      </c>
      <c r="I875" t="inlineStr">
        <is>
          <t>962</t>
        </is>
      </c>
      <c r="J875" t="inlineStr">
        <is>
          <t>HL7 ValueSet expand (2026-06-09)</t>
        </is>
      </c>
      <c r="K875" t="inlineStr">
        <is>
          <t>false</t>
        </is>
      </c>
    </row>
    <row r="876">
      <c r="A876" t="inlineStr">
        <is>
          <t>Patient.race</t>
        </is>
      </c>
      <c r="B876" t="inlineStr">
        <is>
          <t>urn:oid:2.16.840.1.113883.6.238</t>
        </is>
      </c>
      <c r="C876" t="inlineStr">
        <is>
          <t>2063-6</t>
        </is>
      </c>
      <c r="D876" t="inlineStr">
        <is>
          <t>Liberian</t>
        </is>
      </c>
      <c r="E876" t="inlineStr">
        <is>
          <t>detailed</t>
        </is>
      </c>
      <c r="F876" t="inlineStr">
        <is>
          <t>primary</t>
        </is>
      </c>
      <c r="G876" t="inlineStr">
        <is>
          <t>required</t>
        </is>
      </c>
      <c r="H876" t="inlineStr">
        <is>
          <t>true</t>
        </is>
      </c>
      <c r="I876" t="inlineStr">
        <is>
          <t>963</t>
        </is>
      </c>
      <c r="J876" t="inlineStr">
        <is>
          <t>HL7 ValueSet expand (2026-06-09)</t>
        </is>
      </c>
      <c r="K876" t="inlineStr">
        <is>
          <t>false</t>
        </is>
      </c>
    </row>
    <row r="877">
      <c r="A877" t="inlineStr">
        <is>
          <t>Patient.race</t>
        </is>
      </c>
      <c r="B877" t="inlineStr">
        <is>
          <t>urn:oid:2.16.840.1.113883.6.238</t>
        </is>
      </c>
      <c r="C877" t="inlineStr">
        <is>
          <t>2064-4</t>
        </is>
      </c>
      <c r="D877" t="inlineStr">
        <is>
          <t>Namibian</t>
        </is>
      </c>
      <c r="E877" t="inlineStr">
        <is>
          <t>detailed</t>
        </is>
      </c>
      <c r="F877" t="inlineStr">
        <is>
          <t>primary</t>
        </is>
      </c>
      <c r="G877" t="inlineStr">
        <is>
          <t>required</t>
        </is>
      </c>
      <c r="H877" t="inlineStr">
        <is>
          <t>true</t>
        </is>
      </c>
      <c r="I877" t="inlineStr">
        <is>
          <t>964</t>
        </is>
      </c>
      <c r="J877" t="inlineStr">
        <is>
          <t>HL7 ValueSet expand (2026-06-09)</t>
        </is>
      </c>
      <c r="K877" t="inlineStr">
        <is>
          <t>false</t>
        </is>
      </c>
    </row>
    <row r="878">
      <c r="A878" t="inlineStr">
        <is>
          <t>Patient.race</t>
        </is>
      </c>
      <c r="B878" t="inlineStr">
        <is>
          <t>urn:oid:2.16.840.1.113883.6.238</t>
        </is>
      </c>
      <c r="C878" t="inlineStr">
        <is>
          <t>2065-1</t>
        </is>
      </c>
      <c r="D878" t="inlineStr">
        <is>
          <t>Nigerian</t>
        </is>
      </c>
      <c r="E878" t="inlineStr">
        <is>
          <t>detailed</t>
        </is>
      </c>
      <c r="F878" t="inlineStr">
        <is>
          <t>primary</t>
        </is>
      </c>
      <c r="G878" t="inlineStr">
        <is>
          <t>required</t>
        </is>
      </c>
      <c r="H878" t="inlineStr">
        <is>
          <t>true</t>
        </is>
      </c>
      <c r="I878" t="inlineStr">
        <is>
          <t>965</t>
        </is>
      </c>
      <c r="J878" t="inlineStr">
        <is>
          <t>HL7 ValueSet expand (2026-06-09)</t>
        </is>
      </c>
      <c r="K878" t="inlineStr">
        <is>
          <t>false</t>
        </is>
      </c>
    </row>
    <row r="879">
      <c r="A879" t="inlineStr">
        <is>
          <t>Patient.race</t>
        </is>
      </c>
      <c r="B879" t="inlineStr">
        <is>
          <t>urn:oid:2.16.840.1.113883.6.238</t>
        </is>
      </c>
      <c r="C879" t="inlineStr">
        <is>
          <t>2066-9</t>
        </is>
      </c>
      <c r="D879" t="inlineStr">
        <is>
          <t>Zairean</t>
        </is>
      </c>
      <c r="E879" t="inlineStr">
        <is>
          <t>detailed</t>
        </is>
      </c>
      <c r="F879" t="inlineStr">
        <is>
          <t>primary</t>
        </is>
      </c>
      <c r="G879" t="inlineStr">
        <is>
          <t>required</t>
        </is>
      </c>
      <c r="H879" t="inlineStr">
        <is>
          <t>true</t>
        </is>
      </c>
      <c r="I879" t="inlineStr">
        <is>
          <t>966</t>
        </is>
      </c>
      <c r="J879" t="inlineStr">
        <is>
          <t>HL7 ValueSet expand (2026-06-09)</t>
        </is>
      </c>
      <c r="K879" t="inlineStr">
        <is>
          <t>false</t>
        </is>
      </c>
    </row>
    <row r="880">
      <c r="A880" t="inlineStr">
        <is>
          <t>Patient.race</t>
        </is>
      </c>
      <c r="B880" t="inlineStr">
        <is>
          <t>urn:oid:2.16.840.1.113883.6.238</t>
        </is>
      </c>
      <c r="C880" t="inlineStr">
        <is>
          <t>2067-7</t>
        </is>
      </c>
      <c r="D880" t="inlineStr">
        <is>
          <t>Bahamian</t>
        </is>
      </c>
      <c r="E880" t="inlineStr">
        <is>
          <t>detailed</t>
        </is>
      </c>
      <c r="F880" t="inlineStr">
        <is>
          <t>primary</t>
        </is>
      </c>
      <c r="G880" t="inlineStr">
        <is>
          <t>required</t>
        </is>
      </c>
      <c r="H880" t="inlineStr">
        <is>
          <t>true</t>
        </is>
      </c>
      <c r="I880" t="inlineStr">
        <is>
          <t>967</t>
        </is>
      </c>
      <c r="J880" t="inlineStr">
        <is>
          <t>HL7 ValueSet expand (2026-06-09)</t>
        </is>
      </c>
      <c r="K880" t="inlineStr">
        <is>
          <t>false</t>
        </is>
      </c>
    </row>
    <row r="881">
      <c r="A881" t="inlineStr">
        <is>
          <t>Patient.race</t>
        </is>
      </c>
      <c r="B881" t="inlineStr">
        <is>
          <t>urn:oid:2.16.840.1.113883.6.238</t>
        </is>
      </c>
      <c r="C881" t="inlineStr">
        <is>
          <t>2068-5</t>
        </is>
      </c>
      <c r="D881" t="inlineStr">
        <is>
          <t>Barbadian</t>
        </is>
      </c>
      <c r="E881" t="inlineStr">
        <is>
          <t>detailed</t>
        </is>
      </c>
      <c r="F881" t="inlineStr">
        <is>
          <t>primary</t>
        </is>
      </c>
      <c r="G881" t="inlineStr">
        <is>
          <t>required</t>
        </is>
      </c>
      <c r="H881" t="inlineStr">
        <is>
          <t>true</t>
        </is>
      </c>
      <c r="I881" t="inlineStr">
        <is>
          <t>968</t>
        </is>
      </c>
      <c r="J881" t="inlineStr">
        <is>
          <t>HL7 ValueSet expand (2026-06-09)</t>
        </is>
      </c>
      <c r="K881" t="inlineStr">
        <is>
          <t>false</t>
        </is>
      </c>
    </row>
    <row r="882">
      <c r="A882" t="inlineStr">
        <is>
          <t>Patient.race</t>
        </is>
      </c>
      <c r="B882" t="inlineStr">
        <is>
          <t>urn:oid:2.16.840.1.113883.6.238</t>
        </is>
      </c>
      <c r="C882" t="inlineStr">
        <is>
          <t>2069-3</t>
        </is>
      </c>
      <c r="D882" t="inlineStr">
        <is>
          <t>Dominican</t>
        </is>
      </c>
      <c r="E882" t="inlineStr">
        <is>
          <t>detailed</t>
        </is>
      </c>
      <c r="F882" t="inlineStr">
        <is>
          <t>primary</t>
        </is>
      </c>
      <c r="G882" t="inlineStr">
        <is>
          <t>required</t>
        </is>
      </c>
      <c r="H882" t="inlineStr">
        <is>
          <t>true</t>
        </is>
      </c>
      <c r="I882" t="inlineStr">
        <is>
          <t>969</t>
        </is>
      </c>
      <c r="J882" t="inlineStr">
        <is>
          <t>HL7 ValueSet expand (2026-06-09)</t>
        </is>
      </c>
      <c r="K882" t="inlineStr">
        <is>
          <t>false</t>
        </is>
      </c>
    </row>
    <row r="883">
      <c r="A883" t="inlineStr">
        <is>
          <t>Patient.race</t>
        </is>
      </c>
      <c r="B883" t="inlineStr">
        <is>
          <t>urn:oid:2.16.840.1.113883.6.238</t>
        </is>
      </c>
      <c r="C883" t="inlineStr">
        <is>
          <t>2070-1</t>
        </is>
      </c>
      <c r="D883" t="inlineStr">
        <is>
          <t>Dominica Islander</t>
        </is>
      </c>
      <c r="E883" t="inlineStr">
        <is>
          <t>detailed</t>
        </is>
      </c>
      <c r="F883" t="inlineStr">
        <is>
          <t>primary</t>
        </is>
      </c>
      <c r="G883" t="inlineStr">
        <is>
          <t>required</t>
        </is>
      </c>
      <c r="H883" t="inlineStr">
        <is>
          <t>true</t>
        </is>
      </c>
      <c r="I883" t="inlineStr">
        <is>
          <t>970</t>
        </is>
      </c>
      <c r="J883" t="inlineStr">
        <is>
          <t>HL7 ValueSet expand (2026-06-09)</t>
        </is>
      </c>
      <c r="K883" t="inlineStr">
        <is>
          <t>false</t>
        </is>
      </c>
    </row>
    <row r="884">
      <c r="A884" t="inlineStr">
        <is>
          <t>Patient.race</t>
        </is>
      </c>
      <c r="B884" t="inlineStr">
        <is>
          <t>urn:oid:2.16.840.1.113883.6.238</t>
        </is>
      </c>
      <c r="C884" t="inlineStr">
        <is>
          <t>2071-9</t>
        </is>
      </c>
      <c r="D884" t="inlineStr">
        <is>
          <t>Haitian</t>
        </is>
      </c>
      <c r="E884" t="inlineStr">
        <is>
          <t>detailed</t>
        </is>
      </c>
      <c r="F884" t="inlineStr">
        <is>
          <t>primary</t>
        </is>
      </c>
      <c r="G884" t="inlineStr">
        <is>
          <t>required</t>
        </is>
      </c>
      <c r="H884" t="inlineStr">
        <is>
          <t>true</t>
        </is>
      </c>
      <c r="I884" t="inlineStr">
        <is>
          <t>971</t>
        </is>
      </c>
      <c r="J884" t="inlineStr">
        <is>
          <t>HL7 ValueSet expand (2026-06-09)</t>
        </is>
      </c>
      <c r="K884" t="inlineStr">
        <is>
          <t>false</t>
        </is>
      </c>
    </row>
    <row r="885">
      <c r="A885" t="inlineStr">
        <is>
          <t>Patient.race</t>
        </is>
      </c>
      <c r="B885" t="inlineStr">
        <is>
          <t>urn:oid:2.16.840.1.113883.6.238</t>
        </is>
      </c>
      <c r="C885" t="inlineStr">
        <is>
          <t>2072-7</t>
        </is>
      </c>
      <c r="D885" t="inlineStr">
        <is>
          <t>Jamaican</t>
        </is>
      </c>
      <c r="E885" t="inlineStr">
        <is>
          <t>detailed</t>
        </is>
      </c>
      <c r="F885" t="inlineStr">
        <is>
          <t>primary</t>
        </is>
      </c>
      <c r="G885" t="inlineStr">
        <is>
          <t>required</t>
        </is>
      </c>
      <c r="H885" t="inlineStr">
        <is>
          <t>true</t>
        </is>
      </c>
      <c r="I885" t="inlineStr">
        <is>
          <t>972</t>
        </is>
      </c>
      <c r="J885" t="inlineStr">
        <is>
          <t>HL7 ValueSet expand (2026-06-09)</t>
        </is>
      </c>
      <c r="K885" t="inlineStr">
        <is>
          <t>false</t>
        </is>
      </c>
    </row>
    <row r="886">
      <c r="A886" t="inlineStr">
        <is>
          <t>Patient.race</t>
        </is>
      </c>
      <c r="B886" t="inlineStr">
        <is>
          <t>urn:oid:2.16.840.1.113883.6.238</t>
        </is>
      </c>
      <c r="C886" t="inlineStr">
        <is>
          <t>2073-5</t>
        </is>
      </c>
      <c r="D886" t="inlineStr">
        <is>
          <t>Tobagoan</t>
        </is>
      </c>
      <c r="E886" t="inlineStr">
        <is>
          <t>detailed</t>
        </is>
      </c>
      <c r="F886" t="inlineStr">
        <is>
          <t>primary</t>
        </is>
      </c>
      <c r="G886" t="inlineStr">
        <is>
          <t>required</t>
        </is>
      </c>
      <c r="H886" t="inlineStr">
        <is>
          <t>true</t>
        </is>
      </c>
      <c r="I886" t="inlineStr">
        <is>
          <t>973</t>
        </is>
      </c>
      <c r="J886" t="inlineStr">
        <is>
          <t>HL7 ValueSet expand (2026-06-09)</t>
        </is>
      </c>
      <c r="K886" t="inlineStr">
        <is>
          <t>false</t>
        </is>
      </c>
    </row>
    <row r="887">
      <c r="A887" t="inlineStr">
        <is>
          <t>Patient.race</t>
        </is>
      </c>
      <c r="B887" t="inlineStr">
        <is>
          <t>urn:oid:2.16.840.1.113883.6.238</t>
        </is>
      </c>
      <c r="C887" t="inlineStr">
        <is>
          <t>2074-3</t>
        </is>
      </c>
      <c r="D887" t="inlineStr">
        <is>
          <t>Trinidadian</t>
        </is>
      </c>
      <c r="E887" t="inlineStr">
        <is>
          <t>detailed</t>
        </is>
      </c>
      <c r="F887" t="inlineStr">
        <is>
          <t>primary</t>
        </is>
      </c>
      <c r="G887" t="inlineStr">
        <is>
          <t>required</t>
        </is>
      </c>
      <c r="H887" t="inlineStr">
        <is>
          <t>true</t>
        </is>
      </c>
      <c r="I887" t="inlineStr">
        <is>
          <t>974</t>
        </is>
      </c>
      <c r="J887" t="inlineStr">
        <is>
          <t>HL7 ValueSet expand (2026-06-09)</t>
        </is>
      </c>
      <c r="K887" t="inlineStr">
        <is>
          <t>false</t>
        </is>
      </c>
    </row>
    <row r="888">
      <c r="A888" t="inlineStr">
        <is>
          <t>Patient.race</t>
        </is>
      </c>
      <c r="B888" t="inlineStr">
        <is>
          <t>urn:oid:2.16.840.1.113883.6.238</t>
        </is>
      </c>
      <c r="C888" t="inlineStr">
        <is>
          <t>2075-0</t>
        </is>
      </c>
      <c r="D888" t="inlineStr">
        <is>
          <t>West Indian</t>
        </is>
      </c>
      <c r="E888" t="inlineStr">
        <is>
          <t>detailed</t>
        </is>
      </c>
      <c r="F888" t="inlineStr">
        <is>
          <t>primary</t>
        </is>
      </c>
      <c r="G888" t="inlineStr">
        <is>
          <t>required</t>
        </is>
      </c>
      <c r="H888" t="inlineStr">
        <is>
          <t>true</t>
        </is>
      </c>
      <c r="I888" t="inlineStr">
        <is>
          <t>975</t>
        </is>
      </c>
      <c r="J888" t="inlineStr">
        <is>
          <t>HL7 ValueSet expand (2026-06-09)</t>
        </is>
      </c>
      <c r="K888" t="inlineStr">
        <is>
          <t>false</t>
        </is>
      </c>
    </row>
    <row r="889">
      <c r="A889" t="inlineStr">
        <is>
          <t>Patient.race</t>
        </is>
      </c>
      <c r="B889" t="inlineStr">
        <is>
          <t>urn:oid:2.16.840.1.113883.6.238</t>
        </is>
      </c>
      <c r="C889" t="inlineStr">
        <is>
          <t>2078-4</t>
        </is>
      </c>
      <c r="D889" t="inlineStr">
        <is>
          <t>Polynesian</t>
        </is>
      </c>
      <c r="E889" t="inlineStr">
        <is>
          <t>detailed</t>
        </is>
      </c>
      <c r="F889" t="inlineStr">
        <is>
          <t>primary</t>
        </is>
      </c>
      <c r="G889" t="inlineStr">
        <is>
          <t>required</t>
        </is>
      </c>
      <c r="H889" t="inlineStr">
        <is>
          <t>true</t>
        </is>
      </c>
      <c r="I889" t="inlineStr">
        <is>
          <t>976</t>
        </is>
      </c>
      <c r="J889" t="inlineStr">
        <is>
          <t>HL7 ValueSet expand (2026-06-09)</t>
        </is>
      </c>
      <c r="K889" t="inlineStr">
        <is>
          <t>false</t>
        </is>
      </c>
    </row>
    <row r="890">
      <c r="A890" t="inlineStr">
        <is>
          <t>Patient.race</t>
        </is>
      </c>
      <c r="B890" t="inlineStr">
        <is>
          <t>urn:oid:2.16.840.1.113883.6.238</t>
        </is>
      </c>
      <c r="C890" t="inlineStr">
        <is>
          <t>2079-2</t>
        </is>
      </c>
      <c r="D890" t="inlineStr">
        <is>
          <t>Native Hawaiian</t>
        </is>
      </c>
      <c r="E890" t="inlineStr">
        <is>
          <t>detailed</t>
        </is>
      </c>
      <c r="F890" t="inlineStr">
        <is>
          <t>primary</t>
        </is>
      </c>
      <c r="G890" t="inlineStr">
        <is>
          <t>required</t>
        </is>
      </c>
      <c r="H890" t="inlineStr">
        <is>
          <t>true</t>
        </is>
      </c>
      <c r="I890" t="inlineStr">
        <is>
          <t>977</t>
        </is>
      </c>
      <c r="J890" t="inlineStr">
        <is>
          <t>HL7 ValueSet expand (2026-06-09)</t>
        </is>
      </c>
      <c r="K890" t="inlineStr">
        <is>
          <t>false</t>
        </is>
      </c>
    </row>
    <row r="891">
      <c r="A891" t="inlineStr">
        <is>
          <t>Patient.race</t>
        </is>
      </c>
      <c r="B891" t="inlineStr">
        <is>
          <t>urn:oid:2.16.840.1.113883.6.238</t>
        </is>
      </c>
      <c r="C891" t="inlineStr">
        <is>
          <t>2080-0</t>
        </is>
      </c>
      <c r="D891" t="inlineStr">
        <is>
          <t>Samoan</t>
        </is>
      </c>
      <c r="E891" t="inlineStr">
        <is>
          <t>detailed</t>
        </is>
      </c>
      <c r="F891" t="inlineStr">
        <is>
          <t>primary</t>
        </is>
      </c>
      <c r="G891" t="inlineStr">
        <is>
          <t>required</t>
        </is>
      </c>
      <c r="H891" t="inlineStr">
        <is>
          <t>true</t>
        </is>
      </c>
      <c r="I891" t="inlineStr">
        <is>
          <t>978</t>
        </is>
      </c>
      <c r="J891" t="inlineStr">
        <is>
          <t>HL7 ValueSet expand (2026-06-09)</t>
        </is>
      </c>
      <c r="K891" t="inlineStr">
        <is>
          <t>false</t>
        </is>
      </c>
    </row>
    <row r="892">
      <c r="A892" t="inlineStr">
        <is>
          <t>Patient.race</t>
        </is>
      </c>
      <c r="B892" t="inlineStr">
        <is>
          <t>urn:oid:2.16.840.1.113883.6.238</t>
        </is>
      </c>
      <c r="C892" t="inlineStr">
        <is>
          <t>2081-8</t>
        </is>
      </c>
      <c r="D892" t="inlineStr">
        <is>
          <t>Tahitian</t>
        </is>
      </c>
      <c r="E892" t="inlineStr">
        <is>
          <t>detailed</t>
        </is>
      </c>
      <c r="F892" t="inlineStr">
        <is>
          <t>primary</t>
        </is>
      </c>
      <c r="G892" t="inlineStr">
        <is>
          <t>required</t>
        </is>
      </c>
      <c r="H892" t="inlineStr">
        <is>
          <t>true</t>
        </is>
      </c>
      <c r="I892" t="inlineStr">
        <is>
          <t>979</t>
        </is>
      </c>
      <c r="J892" t="inlineStr">
        <is>
          <t>HL7 ValueSet expand (2026-06-09)</t>
        </is>
      </c>
      <c r="K892" t="inlineStr">
        <is>
          <t>false</t>
        </is>
      </c>
    </row>
    <row r="893">
      <c r="A893" t="inlineStr">
        <is>
          <t>Patient.race</t>
        </is>
      </c>
      <c r="B893" t="inlineStr">
        <is>
          <t>urn:oid:2.16.840.1.113883.6.238</t>
        </is>
      </c>
      <c r="C893" t="inlineStr">
        <is>
          <t>2082-6</t>
        </is>
      </c>
      <c r="D893" t="inlineStr">
        <is>
          <t>Tongan</t>
        </is>
      </c>
      <c r="E893" t="inlineStr">
        <is>
          <t>detailed</t>
        </is>
      </c>
      <c r="F893" t="inlineStr">
        <is>
          <t>primary</t>
        </is>
      </c>
      <c r="G893" t="inlineStr">
        <is>
          <t>required</t>
        </is>
      </c>
      <c r="H893" t="inlineStr">
        <is>
          <t>true</t>
        </is>
      </c>
      <c r="I893" t="inlineStr">
        <is>
          <t>980</t>
        </is>
      </c>
      <c r="J893" t="inlineStr">
        <is>
          <t>HL7 ValueSet expand (2026-06-09)</t>
        </is>
      </c>
      <c r="K893" t="inlineStr">
        <is>
          <t>false</t>
        </is>
      </c>
    </row>
    <row r="894">
      <c r="A894" t="inlineStr">
        <is>
          <t>Patient.race</t>
        </is>
      </c>
      <c r="B894" t="inlineStr">
        <is>
          <t>urn:oid:2.16.840.1.113883.6.238</t>
        </is>
      </c>
      <c r="C894" t="inlineStr">
        <is>
          <t>2083-4</t>
        </is>
      </c>
      <c r="D894" t="inlineStr">
        <is>
          <t>Tokelauan</t>
        </is>
      </c>
      <c r="E894" t="inlineStr">
        <is>
          <t>detailed</t>
        </is>
      </c>
      <c r="F894" t="inlineStr">
        <is>
          <t>primary</t>
        </is>
      </c>
      <c r="G894" t="inlineStr">
        <is>
          <t>required</t>
        </is>
      </c>
      <c r="H894" t="inlineStr">
        <is>
          <t>true</t>
        </is>
      </c>
      <c r="I894" t="inlineStr">
        <is>
          <t>981</t>
        </is>
      </c>
      <c r="J894" t="inlineStr">
        <is>
          <t>HL7 ValueSet expand (2026-06-09)</t>
        </is>
      </c>
      <c r="K894" t="inlineStr">
        <is>
          <t>false</t>
        </is>
      </c>
    </row>
    <row r="895">
      <c r="A895" t="inlineStr">
        <is>
          <t>Patient.race</t>
        </is>
      </c>
      <c r="B895" t="inlineStr">
        <is>
          <t>urn:oid:2.16.840.1.113883.6.238</t>
        </is>
      </c>
      <c r="C895" t="inlineStr">
        <is>
          <t>2085-9</t>
        </is>
      </c>
      <c r="D895" t="inlineStr">
        <is>
          <t>Micronesian</t>
        </is>
      </c>
      <c r="E895" t="inlineStr">
        <is>
          <t>detailed</t>
        </is>
      </c>
      <c r="F895" t="inlineStr">
        <is>
          <t>primary</t>
        </is>
      </c>
      <c r="G895" t="inlineStr">
        <is>
          <t>required</t>
        </is>
      </c>
      <c r="H895" t="inlineStr">
        <is>
          <t>true</t>
        </is>
      </c>
      <c r="I895" t="inlineStr">
        <is>
          <t>982</t>
        </is>
      </c>
      <c r="J895" t="inlineStr">
        <is>
          <t>HL7 ValueSet expand (2026-06-09)</t>
        </is>
      </c>
      <c r="K895" t="inlineStr">
        <is>
          <t>false</t>
        </is>
      </c>
    </row>
    <row r="896">
      <c r="A896" t="inlineStr">
        <is>
          <t>Patient.race</t>
        </is>
      </c>
      <c r="B896" t="inlineStr">
        <is>
          <t>urn:oid:2.16.840.1.113883.6.238</t>
        </is>
      </c>
      <c r="C896" t="inlineStr">
        <is>
          <t>2086-7</t>
        </is>
      </c>
      <c r="D896" t="inlineStr">
        <is>
          <t>Guamanian or Chamorro</t>
        </is>
      </c>
      <c r="E896" t="inlineStr">
        <is>
          <t>detailed</t>
        </is>
      </c>
      <c r="F896" t="inlineStr">
        <is>
          <t>primary</t>
        </is>
      </c>
      <c r="G896" t="inlineStr">
        <is>
          <t>required</t>
        </is>
      </c>
      <c r="H896" t="inlineStr">
        <is>
          <t>true</t>
        </is>
      </c>
      <c r="I896" t="inlineStr">
        <is>
          <t>983</t>
        </is>
      </c>
      <c r="J896" t="inlineStr">
        <is>
          <t>HL7 ValueSet expand (2026-06-09)</t>
        </is>
      </c>
      <c r="K896" t="inlineStr">
        <is>
          <t>false</t>
        </is>
      </c>
    </row>
    <row r="897">
      <c r="A897" t="inlineStr">
        <is>
          <t>Patient.race</t>
        </is>
      </c>
      <c r="B897" t="inlineStr">
        <is>
          <t>urn:oid:2.16.840.1.113883.6.238</t>
        </is>
      </c>
      <c r="C897" t="inlineStr">
        <is>
          <t>2087-5</t>
        </is>
      </c>
      <c r="D897" t="inlineStr">
        <is>
          <t>Guamanian</t>
        </is>
      </c>
      <c r="E897" t="inlineStr">
        <is>
          <t>detailed</t>
        </is>
      </c>
      <c r="F897" t="inlineStr">
        <is>
          <t>primary</t>
        </is>
      </c>
      <c r="G897" t="inlineStr">
        <is>
          <t>required</t>
        </is>
      </c>
      <c r="H897" t="inlineStr">
        <is>
          <t>true</t>
        </is>
      </c>
      <c r="I897" t="inlineStr">
        <is>
          <t>984</t>
        </is>
      </c>
      <c r="J897" t="inlineStr">
        <is>
          <t>HL7 ValueSet expand (2026-06-09)</t>
        </is>
      </c>
      <c r="K897" t="inlineStr">
        <is>
          <t>false</t>
        </is>
      </c>
    </row>
    <row r="898">
      <c r="A898" t="inlineStr">
        <is>
          <t>Patient.race</t>
        </is>
      </c>
      <c r="B898" t="inlineStr">
        <is>
          <t>urn:oid:2.16.840.1.113883.6.238</t>
        </is>
      </c>
      <c r="C898" t="inlineStr">
        <is>
          <t>2088-3</t>
        </is>
      </c>
      <c r="D898" t="inlineStr">
        <is>
          <t>Chamorro</t>
        </is>
      </c>
      <c r="E898" t="inlineStr">
        <is>
          <t>detailed</t>
        </is>
      </c>
      <c r="F898" t="inlineStr">
        <is>
          <t>primary</t>
        </is>
      </c>
      <c r="G898" t="inlineStr">
        <is>
          <t>required</t>
        </is>
      </c>
      <c r="H898" t="inlineStr">
        <is>
          <t>true</t>
        </is>
      </c>
      <c r="I898" t="inlineStr">
        <is>
          <t>985</t>
        </is>
      </c>
      <c r="J898" t="inlineStr">
        <is>
          <t>HL7 ValueSet expand (2026-06-09)</t>
        </is>
      </c>
      <c r="K898" t="inlineStr">
        <is>
          <t>false</t>
        </is>
      </c>
    </row>
    <row r="899">
      <c r="A899" t="inlineStr">
        <is>
          <t>Patient.race</t>
        </is>
      </c>
      <c r="B899" t="inlineStr">
        <is>
          <t>urn:oid:2.16.840.1.113883.6.238</t>
        </is>
      </c>
      <c r="C899" t="inlineStr">
        <is>
          <t>2089-1</t>
        </is>
      </c>
      <c r="D899" t="inlineStr">
        <is>
          <t>Mariana Islander</t>
        </is>
      </c>
      <c r="E899" t="inlineStr">
        <is>
          <t>detailed</t>
        </is>
      </c>
      <c r="F899" t="inlineStr">
        <is>
          <t>primary</t>
        </is>
      </c>
      <c r="G899" t="inlineStr">
        <is>
          <t>required</t>
        </is>
      </c>
      <c r="H899" t="inlineStr">
        <is>
          <t>true</t>
        </is>
      </c>
      <c r="I899" t="inlineStr">
        <is>
          <t>986</t>
        </is>
      </c>
      <c r="J899" t="inlineStr">
        <is>
          <t>HL7 ValueSet expand (2026-06-09)</t>
        </is>
      </c>
      <c r="K899" t="inlineStr">
        <is>
          <t>false</t>
        </is>
      </c>
    </row>
    <row r="900">
      <c r="A900" t="inlineStr">
        <is>
          <t>Patient.race</t>
        </is>
      </c>
      <c r="B900" t="inlineStr">
        <is>
          <t>urn:oid:2.16.840.1.113883.6.238</t>
        </is>
      </c>
      <c r="C900" t="inlineStr">
        <is>
          <t>2090-9</t>
        </is>
      </c>
      <c r="D900" t="inlineStr">
        <is>
          <t>Marshallese</t>
        </is>
      </c>
      <c r="E900" t="inlineStr">
        <is>
          <t>detailed</t>
        </is>
      </c>
      <c r="F900" t="inlineStr">
        <is>
          <t>primary</t>
        </is>
      </c>
      <c r="G900" t="inlineStr">
        <is>
          <t>required</t>
        </is>
      </c>
      <c r="H900" t="inlineStr">
        <is>
          <t>true</t>
        </is>
      </c>
      <c r="I900" t="inlineStr">
        <is>
          <t>987</t>
        </is>
      </c>
      <c r="J900" t="inlineStr">
        <is>
          <t>HL7 ValueSet expand (2026-06-09)</t>
        </is>
      </c>
      <c r="K900" t="inlineStr">
        <is>
          <t>false</t>
        </is>
      </c>
    </row>
    <row r="901">
      <c r="A901" t="inlineStr">
        <is>
          <t>Patient.race</t>
        </is>
      </c>
      <c r="B901" t="inlineStr">
        <is>
          <t>urn:oid:2.16.840.1.113883.6.238</t>
        </is>
      </c>
      <c r="C901" t="inlineStr">
        <is>
          <t>2091-7</t>
        </is>
      </c>
      <c r="D901" t="inlineStr">
        <is>
          <t>Palauan</t>
        </is>
      </c>
      <c r="E901" t="inlineStr">
        <is>
          <t>detailed</t>
        </is>
      </c>
      <c r="F901" t="inlineStr">
        <is>
          <t>primary</t>
        </is>
      </c>
      <c r="G901" t="inlineStr">
        <is>
          <t>required</t>
        </is>
      </c>
      <c r="H901" t="inlineStr">
        <is>
          <t>true</t>
        </is>
      </c>
      <c r="I901" t="inlineStr">
        <is>
          <t>988</t>
        </is>
      </c>
      <c r="J901" t="inlineStr">
        <is>
          <t>HL7 ValueSet expand (2026-06-09)</t>
        </is>
      </c>
      <c r="K901" t="inlineStr">
        <is>
          <t>false</t>
        </is>
      </c>
    </row>
    <row r="902">
      <c r="A902" t="inlineStr">
        <is>
          <t>Patient.race</t>
        </is>
      </c>
      <c r="B902" t="inlineStr">
        <is>
          <t>urn:oid:2.16.840.1.113883.6.238</t>
        </is>
      </c>
      <c r="C902" t="inlineStr">
        <is>
          <t>2092-5</t>
        </is>
      </c>
      <c r="D902" t="inlineStr">
        <is>
          <t>Carolinian</t>
        </is>
      </c>
      <c r="E902" t="inlineStr">
        <is>
          <t>detailed</t>
        </is>
      </c>
      <c r="F902" t="inlineStr">
        <is>
          <t>primary</t>
        </is>
      </c>
      <c r="G902" t="inlineStr">
        <is>
          <t>required</t>
        </is>
      </c>
      <c r="H902" t="inlineStr">
        <is>
          <t>true</t>
        </is>
      </c>
      <c r="I902" t="inlineStr">
        <is>
          <t>989</t>
        </is>
      </c>
      <c r="J902" t="inlineStr">
        <is>
          <t>HL7 ValueSet expand (2026-06-09)</t>
        </is>
      </c>
      <c r="K902" t="inlineStr">
        <is>
          <t>false</t>
        </is>
      </c>
    </row>
    <row r="903">
      <c r="A903" t="inlineStr">
        <is>
          <t>Patient.race</t>
        </is>
      </c>
      <c r="B903" t="inlineStr">
        <is>
          <t>urn:oid:2.16.840.1.113883.6.238</t>
        </is>
      </c>
      <c r="C903" t="inlineStr">
        <is>
          <t>2093-3</t>
        </is>
      </c>
      <c r="D903" t="inlineStr">
        <is>
          <t>Kosraean</t>
        </is>
      </c>
      <c r="E903" t="inlineStr">
        <is>
          <t>detailed</t>
        </is>
      </c>
      <c r="F903" t="inlineStr">
        <is>
          <t>primary</t>
        </is>
      </c>
      <c r="G903" t="inlineStr">
        <is>
          <t>required</t>
        </is>
      </c>
      <c r="H903" t="inlineStr">
        <is>
          <t>true</t>
        </is>
      </c>
      <c r="I903" t="inlineStr">
        <is>
          <t>990</t>
        </is>
      </c>
      <c r="J903" t="inlineStr">
        <is>
          <t>HL7 ValueSet expand (2026-06-09)</t>
        </is>
      </c>
      <c r="K903" t="inlineStr">
        <is>
          <t>false</t>
        </is>
      </c>
    </row>
    <row r="904">
      <c r="A904" t="inlineStr">
        <is>
          <t>Patient.race</t>
        </is>
      </c>
      <c r="B904" t="inlineStr">
        <is>
          <t>urn:oid:2.16.840.1.113883.6.238</t>
        </is>
      </c>
      <c r="C904" t="inlineStr">
        <is>
          <t>2094-1</t>
        </is>
      </c>
      <c r="D904" t="inlineStr">
        <is>
          <t>Pohnpeian</t>
        </is>
      </c>
      <c r="E904" t="inlineStr">
        <is>
          <t>detailed</t>
        </is>
      </c>
      <c r="F904" t="inlineStr">
        <is>
          <t>primary</t>
        </is>
      </c>
      <c r="G904" t="inlineStr">
        <is>
          <t>required</t>
        </is>
      </c>
      <c r="H904" t="inlineStr">
        <is>
          <t>true</t>
        </is>
      </c>
      <c r="I904" t="inlineStr">
        <is>
          <t>991</t>
        </is>
      </c>
      <c r="J904" t="inlineStr">
        <is>
          <t>HL7 ValueSet expand (2026-06-09)</t>
        </is>
      </c>
      <c r="K904" t="inlineStr">
        <is>
          <t>false</t>
        </is>
      </c>
    </row>
    <row r="905">
      <c r="A905" t="inlineStr">
        <is>
          <t>Patient.race</t>
        </is>
      </c>
      <c r="B905" t="inlineStr">
        <is>
          <t>urn:oid:2.16.840.1.113883.6.238</t>
        </is>
      </c>
      <c r="C905" t="inlineStr">
        <is>
          <t>2095-8</t>
        </is>
      </c>
      <c r="D905" t="inlineStr">
        <is>
          <t>Saipanese</t>
        </is>
      </c>
      <c r="E905" t="inlineStr">
        <is>
          <t>detailed</t>
        </is>
      </c>
      <c r="F905" t="inlineStr">
        <is>
          <t>primary</t>
        </is>
      </c>
      <c r="G905" t="inlineStr">
        <is>
          <t>required</t>
        </is>
      </c>
      <c r="H905" t="inlineStr">
        <is>
          <t>true</t>
        </is>
      </c>
      <c r="I905" t="inlineStr">
        <is>
          <t>992</t>
        </is>
      </c>
      <c r="J905" t="inlineStr">
        <is>
          <t>HL7 ValueSet expand (2026-06-09)</t>
        </is>
      </c>
      <c r="K905" t="inlineStr">
        <is>
          <t>false</t>
        </is>
      </c>
    </row>
    <row r="906">
      <c r="A906" t="inlineStr">
        <is>
          <t>Patient.race</t>
        </is>
      </c>
      <c r="B906" t="inlineStr">
        <is>
          <t>urn:oid:2.16.840.1.113883.6.238</t>
        </is>
      </c>
      <c r="C906" t="inlineStr">
        <is>
          <t>2096-6</t>
        </is>
      </c>
      <c r="D906" t="inlineStr">
        <is>
          <t>Kiribati</t>
        </is>
      </c>
      <c r="E906" t="inlineStr">
        <is>
          <t>detailed</t>
        </is>
      </c>
      <c r="F906" t="inlineStr">
        <is>
          <t>primary</t>
        </is>
      </c>
      <c r="G906" t="inlineStr">
        <is>
          <t>required</t>
        </is>
      </c>
      <c r="H906" t="inlineStr">
        <is>
          <t>true</t>
        </is>
      </c>
      <c r="I906" t="inlineStr">
        <is>
          <t>993</t>
        </is>
      </c>
      <c r="J906" t="inlineStr">
        <is>
          <t>HL7 ValueSet expand (2026-06-09)</t>
        </is>
      </c>
      <c r="K906" t="inlineStr">
        <is>
          <t>false</t>
        </is>
      </c>
    </row>
    <row r="907">
      <c r="A907" t="inlineStr">
        <is>
          <t>Patient.race</t>
        </is>
      </c>
      <c r="B907" t="inlineStr">
        <is>
          <t>urn:oid:2.16.840.1.113883.6.238</t>
        </is>
      </c>
      <c r="C907" t="inlineStr">
        <is>
          <t>2097-4</t>
        </is>
      </c>
      <c r="D907" t="inlineStr">
        <is>
          <t>Chuukese</t>
        </is>
      </c>
      <c r="E907" t="inlineStr">
        <is>
          <t>detailed</t>
        </is>
      </c>
      <c r="F907" t="inlineStr">
        <is>
          <t>primary</t>
        </is>
      </c>
      <c r="G907" t="inlineStr">
        <is>
          <t>required</t>
        </is>
      </c>
      <c r="H907" t="inlineStr">
        <is>
          <t>true</t>
        </is>
      </c>
      <c r="I907" t="inlineStr">
        <is>
          <t>994</t>
        </is>
      </c>
      <c r="J907" t="inlineStr">
        <is>
          <t>HL7 ValueSet expand (2026-06-09)</t>
        </is>
      </c>
      <c r="K907" t="inlineStr">
        <is>
          <t>false</t>
        </is>
      </c>
    </row>
    <row r="908">
      <c r="A908" t="inlineStr">
        <is>
          <t>Patient.race</t>
        </is>
      </c>
      <c r="B908" t="inlineStr">
        <is>
          <t>urn:oid:2.16.840.1.113883.6.238</t>
        </is>
      </c>
      <c r="C908" t="inlineStr">
        <is>
          <t>2098-2</t>
        </is>
      </c>
      <c r="D908" t="inlineStr">
        <is>
          <t>Yapese</t>
        </is>
      </c>
      <c r="E908" t="inlineStr">
        <is>
          <t>detailed</t>
        </is>
      </c>
      <c r="F908" t="inlineStr">
        <is>
          <t>primary</t>
        </is>
      </c>
      <c r="G908" t="inlineStr">
        <is>
          <t>required</t>
        </is>
      </c>
      <c r="H908" t="inlineStr">
        <is>
          <t>true</t>
        </is>
      </c>
      <c r="I908" t="inlineStr">
        <is>
          <t>995</t>
        </is>
      </c>
      <c r="J908" t="inlineStr">
        <is>
          <t>HL7 ValueSet expand (2026-06-09)</t>
        </is>
      </c>
      <c r="K908" t="inlineStr">
        <is>
          <t>false</t>
        </is>
      </c>
    </row>
    <row r="909">
      <c r="A909" t="inlineStr">
        <is>
          <t>Patient.race</t>
        </is>
      </c>
      <c r="B909" t="inlineStr">
        <is>
          <t>urn:oid:2.16.840.1.113883.6.238</t>
        </is>
      </c>
      <c r="C909" t="inlineStr">
        <is>
          <t>2100-6</t>
        </is>
      </c>
      <c r="D909" t="inlineStr">
        <is>
          <t>Melanesian</t>
        </is>
      </c>
      <c r="E909" t="inlineStr">
        <is>
          <t>detailed</t>
        </is>
      </c>
      <c r="F909" t="inlineStr">
        <is>
          <t>primary</t>
        </is>
      </c>
      <c r="G909" t="inlineStr">
        <is>
          <t>required</t>
        </is>
      </c>
      <c r="H909" t="inlineStr">
        <is>
          <t>true</t>
        </is>
      </c>
      <c r="I909" t="inlineStr">
        <is>
          <t>996</t>
        </is>
      </c>
      <c r="J909" t="inlineStr">
        <is>
          <t>HL7 ValueSet expand (2026-06-09)</t>
        </is>
      </c>
      <c r="K909" t="inlineStr">
        <is>
          <t>false</t>
        </is>
      </c>
    </row>
    <row r="910">
      <c r="A910" t="inlineStr">
        <is>
          <t>Patient.race</t>
        </is>
      </c>
      <c r="B910" t="inlineStr">
        <is>
          <t>urn:oid:2.16.840.1.113883.6.238</t>
        </is>
      </c>
      <c r="C910" t="inlineStr">
        <is>
          <t>2101-4</t>
        </is>
      </c>
      <c r="D910" t="inlineStr">
        <is>
          <t>Fijian</t>
        </is>
      </c>
      <c r="E910" t="inlineStr">
        <is>
          <t>detailed</t>
        </is>
      </c>
      <c r="F910" t="inlineStr">
        <is>
          <t>primary</t>
        </is>
      </c>
      <c r="G910" t="inlineStr">
        <is>
          <t>required</t>
        </is>
      </c>
      <c r="H910" t="inlineStr">
        <is>
          <t>true</t>
        </is>
      </c>
      <c r="I910" t="inlineStr">
        <is>
          <t>997</t>
        </is>
      </c>
      <c r="J910" t="inlineStr">
        <is>
          <t>HL7 ValueSet expand (2026-06-09)</t>
        </is>
      </c>
      <c r="K910" t="inlineStr">
        <is>
          <t>false</t>
        </is>
      </c>
    </row>
    <row r="911">
      <c r="A911" t="inlineStr">
        <is>
          <t>Patient.race</t>
        </is>
      </c>
      <c r="B911" t="inlineStr">
        <is>
          <t>urn:oid:2.16.840.1.113883.6.238</t>
        </is>
      </c>
      <c r="C911" t="inlineStr">
        <is>
          <t>2102-2</t>
        </is>
      </c>
      <c r="D911" t="inlineStr">
        <is>
          <t>Papua New Guinean</t>
        </is>
      </c>
      <c r="E911" t="inlineStr">
        <is>
          <t>detailed</t>
        </is>
      </c>
      <c r="F911" t="inlineStr">
        <is>
          <t>primary</t>
        </is>
      </c>
      <c r="G911" t="inlineStr">
        <is>
          <t>required</t>
        </is>
      </c>
      <c r="H911" t="inlineStr">
        <is>
          <t>true</t>
        </is>
      </c>
      <c r="I911" t="inlineStr">
        <is>
          <t>998</t>
        </is>
      </c>
      <c r="J911" t="inlineStr">
        <is>
          <t>HL7 ValueSet expand (2026-06-09)</t>
        </is>
      </c>
      <c r="K911" t="inlineStr">
        <is>
          <t>false</t>
        </is>
      </c>
    </row>
    <row r="912">
      <c r="A912" t="inlineStr">
        <is>
          <t>Patient.race</t>
        </is>
      </c>
      <c r="B912" t="inlineStr">
        <is>
          <t>urn:oid:2.16.840.1.113883.6.238</t>
        </is>
      </c>
      <c r="C912" t="inlineStr">
        <is>
          <t>2103-0</t>
        </is>
      </c>
      <c r="D912" t="inlineStr">
        <is>
          <t>Solomon Islander</t>
        </is>
      </c>
      <c r="E912" t="inlineStr">
        <is>
          <t>detailed</t>
        </is>
      </c>
      <c r="F912" t="inlineStr">
        <is>
          <t>primary</t>
        </is>
      </c>
      <c r="G912" t="inlineStr">
        <is>
          <t>required</t>
        </is>
      </c>
      <c r="H912" t="inlineStr">
        <is>
          <t>true</t>
        </is>
      </c>
      <c r="I912" t="inlineStr">
        <is>
          <t>999</t>
        </is>
      </c>
      <c r="J912" t="inlineStr">
        <is>
          <t>HL7 ValueSet expand (2026-06-09)</t>
        </is>
      </c>
      <c r="K912" t="inlineStr">
        <is>
          <t>false</t>
        </is>
      </c>
    </row>
    <row r="913">
      <c r="A913" t="inlineStr">
        <is>
          <t>Patient.race</t>
        </is>
      </c>
      <c r="B913" t="inlineStr">
        <is>
          <t>urn:oid:2.16.840.1.113883.6.238</t>
        </is>
      </c>
      <c r="C913" t="inlineStr">
        <is>
          <t>2104-8</t>
        </is>
      </c>
      <c r="D913" t="inlineStr">
        <is>
          <t>New Hebrides</t>
        </is>
      </c>
      <c r="E913" t="inlineStr">
        <is>
          <t>detailed</t>
        </is>
      </c>
      <c r="F913" t="inlineStr">
        <is>
          <t>primary</t>
        </is>
      </c>
      <c r="G913" t="inlineStr">
        <is>
          <t>required</t>
        </is>
      </c>
      <c r="H913" t="inlineStr">
        <is>
          <t>true</t>
        </is>
      </c>
      <c r="I913" t="inlineStr">
        <is>
          <t>1000</t>
        </is>
      </c>
      <c r="J913" t="inlineStr">
        <is>
          <t>HL7 ValueSet expand (2026-06-09)</t>
        </is>
      </c>
      <c r="K913" t="inlineStr">
        <is>
          <t>false</t>
        </is>
      </c>
    </row>
    <row r="914">
      <c r="A914" t="inlineStr">
        <is>
          <t>Patient.race</t>
        </is>
      </c>
      <c r="B914" t="inlineStr">
        <is>
          <t>urn:oid:2.16.840.1.113883.6.238</t>
        </is>
      </c>
      <c r="C914" t="inlineStr">
        <is>
          <t>2108-9</t>
        </is>
      </c>
      <c r="D914" t="inlineStr">
        <is>
          <t>European</t>
        </is>
      </c>
      <c r="E914" t="inlineStr">
        <is>
          <t>detailed</t>
        </is>
      </c>
      <c r="F914" t="inlineStr">
        <is>
          <t>primary</t>
        </is>
      </c>
      <c r="G914" t="inlineStr">
        <is>
          <t>required</t>
        </is>
      </c>
      <c r="H914" t="inlineStr">
        <is>
          <t>true</t>
        </is>
      </c>
      <c r="I914" t="inlineStr">
        <is>
          <t>1001</t>
        </is>
      </c>
      <c r="J914" t="inlineStr">
        <is>
          <t>HL7 ValueSet expand (2026-06-09)</t>
        </is>
      </c>
      <c r="K914" t="inlineStr">
        <is>
          <t>false</t>
        </is>
      </c>
    </row>
    <row r="915">
      <c r="A915" t="inlineStr">
        <is>
          <t>Patient.race</t>
        </is>
      </c>
      <c r="B915" t="inlineStr">
        <is>
          <t>urn:oid:2.16.840.1.113883.6.238</t>
        </is>
      </c>
      <c r="C915" t="inlineStr">
        <is>
          <t>2109-7</t>
        </is>
      </c>
      <c r="D915" t="inlineStr">
        <is>
          <t>Armenian</t>
        </is>
      </c>
      <c r="E915" t="inlineStr">
        <is>
          <t>detailed</t>
        </is>
      </c>
      <c r="F915" t="inlineStr">
        <is>
          <t>primary</t>
        </is>
      </c>
      <c r="G915" t="inlineStr">
        <is>
          <t>required</t>
        </is>
      </c>
      <c r="H915" t="inlineStr">
        <is>
          <t>true</t>
        </is>
      </c>
      <c r="I915" t="inlineStr">
        <is>
          <t>1002</t>
        </is>
      </c>
      <c r="J915" t="inlineStr">
        <is>
          <t>HL7 ValueSet expand (2026-06-09)</t>
        </is>
      </c>
      <c r="K915" t="inlineStr">
        <is>
          <t>false</t>
        </is>
      </c>
    </row>
    <row r="916">
      <c r="A916" t="inlineStr">
        <is>
          <t>Patient.race</t>
        </is>
      </c>
      <c r="B916" t="inlineStr">
        <is>
          <t>urn:oid:2.16.840.1.113883.6.238</t>
        </is>
      </c>
      <c r="C916" t="inlineStr">
        <is>
          <t>2110-5</t>
        </is>
      </c>
      <c r="D916" t="inlineStr">
        <is>
          <t>English</t>
        </is>
      </c>
      <c r="E916" t="inlineStr">
        <is>
          <t>detailed</t>
        </is>
      </c>
      <c r="F916" t="inlineStr">
        <is>
          <t>primary</t>
        </is>
      </c>
      <c r="G916" t="inlineStr">
        <is>
          <t>required</t>
        </is>
      </c>
      <c r="H916" t="inlineStr">
        <is>
          <t>true</t>
        </is>
      </c>
      <c r="I916" t="inlineStr">
        <is>
          <t>1003</t>
        </is>
      </c>
      <c r="J916" t="inlineStr">
        <is>
          <t>HL7 ValueSet expand (2026-06-09)</t>
        </is>
      </c>
      <c r="K916" t="inlineStr">
        <is>
          <t>false</t>
        </is>
      </c>
    </row>
    <row r="917">
      <c r="A917" t="inlineStr">
        <is>
          <t>Patient.race</t>
        </is>
      </c>
      <c r="B917" t="inlineStr">
        <is>
          <t>urn:oid:2.16.840.1.113883.6.238</t>
        </is>
      </c>
      <c r="C917" t="inlineStr">
        <is>
          <t>2111-3</t>
        </is>
      </c>
      <c r="D917" t="inlineStr">
        <is>
          <t>French</t>
        </is>
      </c>
      <c r="E917" t="inlineStr">
        <is>
          <t>detailed</t>
        </is>
      </c>
      <c r="F917" t="inlineStr">
        <is>
          <t>primary</t>
        </is>
      </c>
      <c r="G917" t="inlineStr">
        <is>
          <t>required</t>
        </is>
      </c>
      <c r="H917" t="inlineStr">
        <is>
          <t>true</t>
        </is>
      </c>
      <c r="I917" t="inlineStr">
        <is>
          <t>1004</t>
        </is>
      </c>
      <c r="J917" t="inlineStr">
        <is>
          <t>HL7 ValueSet expand (2026-06-09)</t>
        </is>
      </c>
      <c r="K917" t="inlineStr">
        <is>
          <t>false</t>
        </is>
      </c>
    </row>
    <row r="918">
      <c r="A918" t="inlineStr">
        <is>
          <t>Patient.race</t>
        </is>
      </c>
      <c r="B918" t="inlineStr">
        <is>
          <t>urn:oid:2.16.840.1.113883.6.238</t>
        </is>
      </c>
      <c r="C918" t="inlineStr">
        <is>
          <t>2112-1</t>
        </is>
      </c>
      <c r="D918" t="inlineStr">
        <is>
          <t>German</t>
        </is>
      </c>
      <c r="E918" t="inlineStr">
        <is>
          <t>detailed</t>
        </is>
      </c>
      <c r="F918" t="inlineStr">
        <is>
          <t>primary</t>
        </is>
      </c>
      <c r="G918" t="inlineStr">
        <is>
          <t>required</t>
        </is>
      </c>
      <c r="H918" t="inlineStr">
        <is>
          <t>true</t>
        </is>
      </c>
      <c r="I918" t="inlineStr">
        <is>
          <t>1005</t>
        </is>
      </c>
      <c r="J918" t="inlineStr">
        <is>
          <t>HL7 ValueSet expand (2026-06-09)</t>
        </is>
      </c>
      <c r="K918" t="inlineStr">
        <is>
          <t>false</t>
        </is>
      </c>
    </row>
    <row r="919">
      <c r="A919" t="inlineStr">
        <is>
          <t>Patient.race</t>
        </is>
      </c>
      <c r="B919" t="inlineStr">
        <is>
          <t>urn:oid:2.16.840.1.113883.6.238</t>
        </is>
      </c>
      <c r="C919" t="inlineStr">
        <is>
          <t>2113-9</t>
        </is>
      </c>
      <c r="D919" t="inlineStr">
        <is>
          <t>Irish</t>
        </is>
      </c>
      <c r="E919" t="inlineStr">
        <is>
          <t>detailed</t>
        </is>
      </c>
      <c r="F919" t="inlineStr">
        <is>
          <t>primary</t>
        </is>
      </c>
      <c r="G919" t="inlineStr">
        <is>
          <t>required</t>
        </is>
      </c>
      <c r="H919" t="inlineStr">
        <is>
          <t>true</t>
        </is>
      </c>
      <c r="I919" t="inlineStr">
        <is>
          <t>1006</t>
        </is>
      </c>
      <c r="J919" t="inlineStr">
        <is>
          <t>HL7 ValueSet expand (2026-06-09)</t>
        </is>
      </c>
      <c r="K919" t="inlineStr">
        <is>
          <t>false</t>
        </is>
      </c>
    </row>
    <row r="920">
      <c r="A920" t="inlineStr">
        <is>
          <t>Patient.race</t>
        </is>
      </c>
      <c r="B920" t="inlineStr">
        <is>
          <t>urn:oid:2.16.840.1.113883.6.238</t>
        </is>
      </c>
      <c r="C920" t="inlineStr">
        <is>
          <t>2114-7</t>
        </is>
      </c>
      <c r="D920" t="inlineStr">
        <is>
          <t>Italian</t>
        </is>
      </c>
      <c r="E920" t="inlineStr">
        <is>
          <t>detailed</t>
        </is>
      </c>
      <c r="F920" t="inlineStr">
        <is>
          <t>primary</t>
        </is>
      </c>
      <c r="G920" t="inlineStr">
        <is>
          <t>required</t>
        </is>
      </c>
      <c r="H920" t="inlineStr">
        <is>
          <t>true</t>
        </is>
      </c>
      <c r="I920" t="inlineStr">
        <is>
          <t>1007</t>
        </is>
      </c>
      <c r="J920" t="inlineStr">
        <is>
          <t>HL7 ValueSet expand (2026-06-09)</t>
        </is>
      </c>
      <c r="K920" t="inlineStr">
        <is>
          <t>false</t>
        </is>
      </c>
    </row>
    <row r="921">
      <c r="A921" t="inlineStr">
        <is>
          <t>Patient.race</t>
        </is>
      </c>
      <c r="B921" t="inlineStr">
        <is>
          <t>urn:oid:2.16.840.1.113883.6.238</t>
        </is>
      </c>
      <c r="C921" t="inlineStr">
        <is>
          <t>2115-4</t>
        </is>
      </c>
      <c r="D921" t="inlineStr">
        <is>
          <t>Polish</t>
        </is>
      </c>
      <c r="E921" t="inlineStr">
        <is>
          <t>detailed</t>
        </is>
      </c>
      <c r="F921" t="inlineStr">
        <is>
          <t>primary</t>
        </is>
      </c>
      <c r="G921" t="inlineStr">
        <is>
          <t>required</t>
        </is>
      </c>
      <c r="H921" t="inlineStr">
        <is>
          <t>true</t>
        </is>
      </c>
      <c r="I921" t="inlineStr">
        <is>
          <t>1008</t>
        </is>
      </c>
      <c r="J921" t="inlineStr">
        <is>
          <t>HL7 ValueSet expand (2026-06-09)</t>
        </is>
      </c>
      <c r="K921" t="inlineStr">
        <is>
          <t>false</t>
        </is>
      </c>
    </row>
    <row r="922">
      <c r="A922" t="inlineStr">
        <is>
          <t>Patient.race</t>
        </is>
      </c>
      <c r="B922" t="inlineStr">
        <is>
          <t>urn:oid:2.16.840.1.113883.6.238</t>
        </is>
      </c>
      <c r="C922" t="inlineStr">
        <is>
          <t>2116-2</t>
        </is>
      </c>
      <c r="D922" t="inlineStr">
        <is>
          <t>Scottish</t>
        </is>
      </c>
      <c r="E922" t="inlineStr">
        <is>
          <t>detailed</t>
        </is>
      </c>
      <c r="F922" t="inlineStr">
        <is>
          <t>primary</t>
        </is>
      </c>
      <c r="G922" t="inlineStr">
        <is>
          <t>required</t>
        </is>
      </c>
      <c r="H922" t="inlineStr">
        <is>
          <t>true</t>
        </is>
      </c>
      <c r="I922" t="inlineStr">
        <is>
          <t>1009</t>
        </is>
      </c>
      <c r="J922" t="inlineStr">
        <is>
          <t>HL7 ValueSet expand (2026-06-09)</t>
        </is>
      </c>
      <c r="K922" t="inlineStr">
        <is>
          <t>false</t>
        </is>
      </c>
    </row>
    <row r="923">
      <c r="A923" t="inlineStr">
        <is>
          <t>Patient.race</t>
        </is>
      </c>
      <c r="B923" t="inlineStr">
        <is>
          <t>urn:oid:2.16.840.1.113883.6.238</t>
        </is>
      </c>
      <c r="C923" t="inlineStr">
        <is>
          <t>2118-8</t>
        </is>
      </c>
      <c r="D923" t="inlineStr">
        <is>
          <t>Middle Eastern or North African</t>
        </is>
      </c>
      <c r="E923" t="inlineStr">
        <is>
          <t>detailed</t>
        </is>
      </c>
      <c r="F923" t="inlineStr">
        <is>
          <t>primary</t>
        </is>
      </c>
      <c r="G923" t="inlineStr">
        <is>
          <t>required</t>
        </is>
      </c>
      <c r="H923" t="inlineStr">
        <is>
          <t>true</t>
        </is>
      </c>
      <c r="I923" t="inlineStr">
        <is>
          <t>1010</t>
        </is>
      </c>
      <c r="J923" t="inlineStr">
        <is>
          <t>HL7 ValueSet expand (2026-06-09)</t>
        </is>
      </c>
      <c r="K923" t="inlineStr">
        <is>
          <t>false</t>
        </is>
      </c>
    </row>
    <row r="924">
      <c r="A924" t="inlineStr">
        <is>
          <t>Patient.race</t>
        </is>
      </c>
      <c r="B924" t="inlineStr">
        <is>
          <t>urn:oid:2.16.840.1.113883.6.238</t>
        </is>
      </c>
      <c r="C924" t="inlineStr">
        <is>
          <t>2119-6</t>
        </is>
      </c>
      <c r="D924" t="inlineStr">
        <is>
          <t>Assyrian</t>
        </is>
      </c>
      <c r="E924" t="inlineStr">
        <is>
          <t>detailed</t>
        </is>
      </c>
      <c r="F924" t="inlineStr">
        <is>
          <t>primary</t>
        </is>
      </c>
      <c r="G924" t="inlineStr">
        <is>
          <t>required</t>
        </is>
      </c>
      <c r="H924" t="inlineStr">
        <is>
          <t>true</t>
        </is>
      </c>
      <c r="I924" t="inlineStr">
        <is>
          <t>1011</t>
        </is>
      </c>
      <c r="J924" t="inlineStr">
        <is>
          <t>HL7 ValueSet expand (2026-06-09)</t>
        </is>
      </c>
      <c r="K924" t="inlineStr">
        <is>
          <t>false</t>
        </is>
      </c>
    </row>
    <row r="925">
      <c r="A925" t="inlineStr">
        <is>
          <t>Patient.race</t>
        </is>
      </c>
      <c r="B925" t="inlineStr">
        <is>
          <t>urn:oid:2.16.840.1.113883.6.238</t>
        </is>
      </c>
      <c r="C925" t="inlineStr">
        <is>
          <t>2120-4</t>
        </is>
      </c>
      <c r="D925" t="inlineStr">
        <is>
          <t>Egyptian</t>
        </is>
      </c>
      <c r="E925" t="inlineStr">
        <is>
          <t>detailed</t>
        </is>
      </c>
      <c r="F925" t="inlineStr">
        <is>
          <t>primary</t>
        </is>
      </c>
      <c r="G925" t="inlineStr">
        <is>
          <t>required</t>
        </is>
      </c>
      <c r="H925" t="inlineStr">
        <is>
          <t>true</t>
        </is>
      </c>
      <c r="I925" t="inlineStr">
        <is>
          <t>1012</t>
        </is>
      </c>
      <c r="J925" t="inlineStr">
        <is>
          <t>HL7 ValueSet expand (2026-06-09)</t>
        </is>
      </c>
      <c r="K925" t="inlineStr">
        <is>
          <t>false</t>
        </is>
      </c>
    </row>
    <row r="926">
      <c r="A926" t="inlineStr">
        <is>
          <t>Patient.race</t>
        </is>
      </c>
      <c r="B926" t="inlineStr">
        <is>
          <t>urn:oid:2.16.840.1.113883.6.238</t>
        </is>
      </c>
      <c r="C926" t="inlineStr">
        <is>
          <t>2121-2</t>
        </is>
      </c>
      <c r="D926" t="inlineStr">
        <is>
          <t>Iranian</t>
        </is>
      </c>
      <c r="E926" t="inlineStr">
        <is>
          <t>detailed</t>
        </is>
      </c>
      <c r="F926" t="inlineStr">
        <is>
          <t>primary</t>
        </is>
      </c>
      <c r="G926" t="inlineStr">
        <is>
          <t>required</t>
        </is>
      </c>
      <c r="H926" t="inlineStr">
        <is>
          <t>true</t>
        </is>
      </c>
      <c r="I926" t="inlineStr">
        <is>
          <t>1013</t>
        </is>
      </c>
      <c r="J926" t="inlineStr">
        <is>
          <t>HL7 ValueSet expand (2026-06-09)</t>
        </is>
      </c>
      <c r="K926" t="inlineStr">
        <is>
          <t>false</t>
        </is>
      </c>
    </row>
    <row r="927">
      <c r="A927" t="inlineStr">
        <is>
          <t>Patient.race</t>
        </is>
      </c>
      <c r="B927" t="inlineStr">
        <is>
          <t>urn:oid:2.16.840.1.113883.6.238</t>
        </is>
      </c>
      <c r="C927" t="inlineStr">
        <is>
          <t>2122-0</t>
        </is>
      </c>
      <c r="D927" t="inlineStr">
        <is>
          <t>Iraqi</t>
        </is>
      </c>
      <c r="E927" t="inlineStr">
        <is>
          <t>detailed</t>
        </is>
      </c>
      <c r="F927" t="inlineStr">
        <is>
          <t>primary</t>
        </is>
      </c>
      <c r="G927" t="inlineStr">
        <is>
          <t>required</t>
        </is>
      </c>
      <c r="H927" t="inlineStr">
        <is>
          <t>true</t>
        </is>
      </c>
      <c r="I927" t="inlineStr">
        <is>
          <t>1014</t>
        </is>
      </c>
      <c r="J927" t="inlineStr">
        <is>
          <t>HL7 ValueSet expand (2026-06-09)</t>
        </is>
      </c>
      <c r="K927" t="inlineStr">
        <is>
          <t>false</t>
        </is>
      </c>
    </row>
    <row r="928">
      <c r="A928" t="inlineStr">
        <is>
          <t>Patient.race</t>
        </is>
      </c>
      <c r="B928" t="inlineStr">
        <is>
          <t>urn:oid:2.16.840.1.113883.6.238</t>
        </is>
      </c>
      <c r="C928" t="inlineStr">
        <is>
          <t>2123-8</t>
        </is>
      </c>
      <c r="D928" t="inlineStr">
        <is>
          <t>Lebanese</t>
        </is>
      </c>
      <c r="E928" t="inlineStr">
        <is>
          <t>detailed</t>
        </is>
      </c>
      <c r="F928" t="inlineStr">
        <is>
          <t>primary</t>
        </is>
      </c>
      <c r="G928" t="inlineStr">
        <is>
          <t>required</t>
        </is>
      </c>
      <c r="H928" t="inlineStr">
        <is>
          <t>true</t>
        </is>
      </c>
      <c r="I928" t="inlineStr">
        <is>
          <t>1015</t>
        </is>
      </c>
      <c r="J928" t="inlineStr">
        <is>
          <t>HL7 ValueSet expand (2026-06-09)</t>
        </is>
      </c>
      <c r="K928" t="inlineStr">
        <is>
          <t>false</t>
        </is>
      </c>
    </row>
    <row r="929">
      <c r="A929" t="inlineStr">
        <is>
          <t>Patient.race</t>
        </is>
      </c>
      <c r="B929" t="inlineStr">
        <is>
          <t>urn:oid:2.16.840.1.113883.6.238</t>
        </is>
      </c>
      <c r="C929" t="inlineStr">
        <is>
          <t>2124-6</t>
        </is>
      </c>
      <c r="D929" t="inlineStr">
        <is>
          <t>Palestinian</t>
        </is>
      </c>
      <c r="E929" t="inlineStr">
        <is>
          <t>detailed</t>
        </is>
      </c>
      <c r="F929" t="inlineStr">
        <is>
          <t>primary</t>
        </is>
      </c>
      <c r="G929" t="inlineStr">
        <is>
          <t>required</t>
        </is>
      </c>
      <c r="H929" t="inlineStr">
        <is>
          <t>true</t>
        </is>
      </c>
      <c r="I929" t="inlineStr">
        <is>
          <t>1016</t>
        </is>
      </c>
      <c r="J929" t="inlineStr">
        <is>
          <t>HL7 ValueSet expand (2026-06-09)</t>
        </is>
      </c>
      <c r="K929" t="inlineStr">
        <is>
          <t>false</t>
        </is>
      </c>
    </row>
    <row r="930">
      <c r="A930" t="inlineStr">
        <is>
          <t>Patient.race</t>
        </is>
      </c>
      <c r="B930" t="inlineStr">
        <is>
          <t>urn:oid:2.16.840.1.113883.6.238</t>
        </is>
      </c>
      <c r="C930" t="inlineStr">
        <is>
          <t>2125-3</t>
        </is>
      </c>
      <c r="D930" t="inlineStr">
        <is>
          <t>Syrian</t>
        </is>
      </c>
      <c r="E930" t="inlineStr">
        <is>
          <t>detailed</t>
        </is>
      </c>
      <c r="F930" t="inlineStr">
        <is>
          <t>primary</t>
        </is>
      </c>
      <c r="G930" t="inlineStr">
        <is>
          <t>required</t>
        </is>
      </c>
      <c r="H930" t="inlineStr">
        <is>
          <t>true</t>
        </is>
      </c>
      <c r="I930" t="inlineStr">
        <is>
          <t>1017</t>
        </is>
      </c>
      <c r="J930" t="inlineStr">
        <is>
          <t>HL7 ValueSet expand (2026-06-09)</t>
        </is>
      </c>
      <c r="K930" t="inlineStr">
        <is>
          <t>false</t>
        </is>
      </c>
    </row>
    <row r="931">
      <c r="A931" t="inlineStr">
        <is>
          <t>Patient.race</t>
        </is>
      </c>
      <c r="B931" t="inlineStr">
        <is>
          <t>urn:oid:2.16.840.1.113883.6.238</t>
        </is>
      </c>
      <c r="C931" t="inlineStr">
        <is>
          <t>2126-1</t>
        </is>
      </c>
      <c r="D931" t="inlineStr">
        <is>
          <t>Afghanistani</t>
        </is>
      </c>
      <c r="E931" t="inlineStr">
        <is>
          <t>detailed</t>
        </is>
      </c>
      <c r="F931" t="inlineStr">
        <is>
          <t>primary</t>
        </is>
      </c>
      <c r="G931" t="inlineStr">
        <is>
          <t>required</t>
        </is>
      </c>
      <c r="H931" t="inlineStr">
        <is>
          <t>true</t>
        </is>
      </c>
      <c r="I931" t="inlineStr">
        <is>
          <t>1018</t>
        </is>
      </c>
      <c r="J931" t="inlineStr">
        <is>
          <t>HL7 ValueSet expand (2026-06-09)</t>
        </is>
      </c>
      <c r="K931" t="inlineStr">
        <is>
          <t>false</t>
        </is>
      </c>
    </row>
    <row r="932">
      <c r="A932" t="inlineStr">
        <is>
          <t>Patient.race</t>
        </is>
      </c>
      <c r="B932" t="inlineStr">
        <is>
          <t>urn:oid:2.16.840.1.113883.6.238</t>
        </is>
      </c>
      <c r="C932" t="inlineStr">
        <is>
          <t>2127-9</t>
        </is>
      </c>
      <c r="D932" t="inlineStr">
        <is>
          <t>Israeili</t>
        </is>
      </c>
      <c r="E932" t="inlineStr">
        <is>
          <t>detailed</t>
        </is>
      </c>
      <c r="F932" t="inlineStr">
        <is>
          <t>primary</t>
        </is>
      </c>
      <c r="G932" t="inlineStr">
        <is>
          <t>required</t>
        </is>
      </c>
      <c r="H932" t="inlineStr">
        <is>
          <t>true</t>
        </is>
      </c>
      <c r="I932" t="inlineStr">
        <is>
          <t>1019</t>
        </is>
      </c>
      <c r="J932" t="inlineStr">
        <is>
          <t>HL7 ValueSet expand (2026-06-09)</t>
        </is>
      </c>
      <c r="K932" t="inlineStr">
        <is>
          <t>false</t>
        </is>
      </c>
    </row>
    <row r="933">
      <c r="A933" t="inlineStr">
        <is>
          <t>Patient.race</t>
        </is>
      </c>
      <c r="B933" t="inlineStr">
        <is>
          <t>urn:oid:2.16.840.1.113883.6.238</t>
        </is>
      </c>
      <c r="C933" t="inlineStr">
        <is>
          <t>2129-5</t>
        </is>
      </c>
      <c r="D933" t="inlineStr">
        <is>
          <t>Arab</t>
        </is>
      </c>
      <c r="E933" t="inlineStr">
        <is>
          <t>detailed</t>
        </is>
      </c>
      <c r="F933" t="inlineStr">
        <is>
          <t>primary</t>
        </is>
      </c>
      <c r="G933" t="inlineStr">
        <is>
          <t>required</t>
        </is>
      </c>
      <c r="H933" t="inlineStr">
        <is>
          <t>true</t>
        </is>
      </c>
      <c r="I933" t="inlineStr">
        <is>
          <t>1020</t>
        </is>
      </c>
      <c r="J933" t="inlineStr">
        <is>
          <t>HL7 ValueSet expand (2026-06-09)</t>
        </is>
      </c>
      <c r="K933" t="inlineStr">
        <is>
          <t>false</t>
        </is>
      </c>
    </row>
    <row r="934">
      <c r="A934" t="inlineStr">
        <is>
          <t>Patient.race</t>
        </is>
      </c>
      <c r="B934" t="inlineStr">
        <is>
          <t>urn:oid:2.16.840.1.113883.6.238</t>
        </is>
      </c>
      <c r="C934" t="inlineStr">
        <is>
          <t>2500-7</t>
        </is>
      </c>
      <c r="D934" t="inlineStr">
        <is>
          <t>Other Pacific Islander</t>
        </is>
      </c>
      <c r="E934" t="inlineStr">
        <is>
          <t>detailed</t>
        </is>
      </c>
      <c r="F934" t="inlineStr">
        <is>
          <t>primary</t>
        </is>
      </c>
      <c r="G934" t="inlineStr">
        <is>
          <t>required</t>
        </is>
      </c>
      <c r="H934" t="inlineStr">
        <is>
          <t>true</t>
        </is>
      </c>
      <c r="I934" t="inlineStr">
        <is>
          <t>1021</t>
        </is>
      </c>
      <c r="J934" t="inlineStr">
        <is>
          <t>HL7 ValueSet expand (2026-06-09)</t>
        </is>
      </c>
      <c r="K934" t="inlineStr">
        <is>
          <t>false</t>
        </is>
      </c>
    </row>
    <row r="935">
      <c r="A935" t="inlineStr">
        <is>
          <t>Patient.ethnicity</t>
        </is>
      </c>
      <c r="B935" t="inlineStr">
        <is>
          <t>urn:oid:2.16.840.1.113883.5.1008</t>
        </is>
      </c>
      <c r="C935" t="inlineStr">
        <is>
          <t>UNK</t>
        </is>
      </c>
      <c r="D935" t="inlineStr">
        <is>
          <t>Unknown</t>
        </is>
      </c>
      <c r="E935" t="inlineStr">
        <is>
          <t>nullflavor</t>
        </is>
      </c>
      <c r="F935" t="inlineStr">
        <is>
          <t>nullflavor</t>
        </is>
      </c>
      <c r="G935" t="inlineStr">
        <is>
          <t>example</t>
        </is>
      </c>
      <c r="H935" t="inlineStr">
        <is>
          <t>true</t>
        </is>
      </c>
      <c r="I935" t="inlineStr">
        <is>
          <t>10</t>
        </is>
      </c>
      <c r="J935" t="inlineStr">
        <is>
          <t>Distinct from patient-refused / declined in survivorship</t>
        </is>
      </c>
      <c r="K935" t="inlineStr">
        <is>
          <t>true</t>
        </is>
      </c>
    </row>
    <row r="936">
      <c r="A936" t="inlineStr">
        <is>
          <t>Patient.ethnicity</t>
        </is>
      </c>
      <c r="B936" t="inlineStr">
        <is>
          <t>urn:oid:2.16.840.1.113883.6.238</t>
        </is>
      </c>
      <c r="C936" t="inlineStr">
        <is>
          <t>2135-2</t>
        </is>
      </c>
      <c r="D936" t="inlineStr">
        <is>
          <t>Hispanic or Latino</t>
        </is>
      </c>
      <c r="E936" t="inlineStr">
        <is>
          <t>omb_rollup</t>
        </is>
      </c>
      <c r="F936" t="inlineStr">
        <is>
          <t>primary</t>
        </is>
      </c>
      <c r="G936" t="inlineStr">
        <is>
          <t>required</t>
        </is>
      </c>
      <c r="H936" t="inlineStr">
        <is>
          <t>true</t>
        </is>
      </c>
      <c r="I936" t="inlineStr">
        <is>
          <t>1</t>
        </is>
      </c>
      <c r="J936" t="inlineStr">
        <is>
          <t>HL7 ValueSet expand (2026-06-09)</t>
        </is>
      </c>
      <c r="K936" t="inlineStr">
        <is>
          <t>true</t>
        </is>
      </c>
    </row>
    <row r="937">
      <c r="A937" t="inlineStr">
        <is>
          <t>Patient.ethnicity</t>
        </is>
      </c>
      <c r="B937" t="inlineStr">
        <is>
          <t>urn:oid:2.16.840.1.113883.6.238</t>
        </is>
      </c>
      <c r="C937" t="inlineStr">
        <is>
          <t>2186-5</t>
        </is>
      </c>
      <c r="D937" t="inlineStr">
        <is>
          <t>Not Hispanic or Latino</t>
        </is>
      </c>
      <c r="E937" t="inlineStr">
        <is>
          <t>omb_rollup</t>
        </is>
      </c>
      <c r="F937" t="inlineStr">
        <is>
          <t>primary</t>
        </is>
      </c>
      <c r="G937" t="inlineStr">
        <is>
          <t>required</t>
        </is>
      </c>
      <c r="H937" t="inlineStr">
        <is>
          <t>true</t>
        </is>
      </c>
      <c r="I937" t="inlineStr">
        <is>
          <t>2</t>
        </is>
      </c>
      <c r="J937" t="inlineStr">
        <is>
          <t>HL7 ValueSet expand (2026-06-09)</t>
        </is>
      </c>
      <c r="K937" t="inlineStr">
        <is>
          <t>true</t>
        </is>
      </c>
    </row>
    <row r="938">
      <c r="A938" t="inlineStr">
        <is>
          <t>Patient.gender_id</t>
        </is>
      </c>
      <c r="B938" t="inlineStr">
        <is>
          <t>urn:oid:2.16.840.1.113883.6.96</t>
        </is>
      </c>
      <c r="C938" t="inlineStr">
        <is>
          <t>446141000124107</t>
        </is>
      </c>
      <c r="D938" t="inlineStr">
        <is>
          <t>Female gender identity</t>
        </is>
      </c>
      <c r="E938" t="inlineStr">
        <is>
          <t>standard</t>
        </is>
      </c>
      <c r="F938" t="inlineStr">
        <is>
          <t>primary</t>
        </is>
      </c>
      <c r="G938" t="inlineStr">
        <is>
          <t>extensible</t>
        </is>
      </c>
      <c r="H938" t="inlineStr">
        <is>
          <t>true</t>
        </is>
      </c>
      <c r="I938" t="inlineStr">
        <is>
          <t>1</t>
        </is>
      </c>
      <c r="J938" t="inlineStr">
        <is>
          <t>HL7 gender-identity minimum set; US Core extensible binding</t>
        </is>
      </c>
      <c r="K938" t="inlineStr">
        <is>
          <t>true</t>
        </is>
      </c>
    </row>
    <row r="939">
      <c r="A939" t="inlineStr">
        <is>
          <t>Patient.gender_id</t>
        </is>
      </c>
      <c r="B939" t="inlineStr">
        <is>
          <t>urn:oid:2.16.840.1.113883.6.96</t>
        </is>
      </c>
      <c r="C939" t="inlineStr">
        <is>
          <t>446151000124109</t>
        </is>
      </c>
      <c r="D939" t="inlineStr">
        <is>
          <t>Male gender identity</t>
        </is>
      </c>
      <c r="E939" t="inlineStr">
        <is>
          <t>standard</t>
        </is>
      </c>
      <c r="F939" t="inlineStr">
        <is>
          <t>primary</t>
        </is>
      </c>
      <c r="G939" t="inlineStr">
        <is>
          <t>extensible</t>
        </is>
      </c>
      <c r="H939" t="inlineStr">
        <is>
          <t>true</t>
        </is>
      </c>
      <c r="I939" t="inlineStr">
        <is>
          <t>2</t>
        </is>
      </c>
      <c r="J939" t="inlineStr">
        <is>
          <t>HL7 gender-identity minimum set</t>
        </is>
      </c>
      <c r="K939" t="inlineStr">
        <is>
          <t>true</t>
        </is>
      </c>
    </row>
    <row r="940">
      <c r="A940" t="inlineStr">
        <is>
          <t>Patient.gender_id</t>
        </is>
      </c>
      <c r="B940" t="inlineStr">
        <is>
          <t>urn:oid:2.16.840.1.113883.6.96</t>
        </is>
      </c>
      <c r="C940" t="inlineStr">
        <is>
          <t>33791000087105</t>
        </is>
      </c>
      <c r="D940" t="inlineStr">
        <is>
          <t>Non-binary gender identity</t>
        </is>
      </c>
      <c r="E940" t="inlineStr">
        <is>
          <t>standard</t>
        </is>
      </c>
      <c r="F940" t="inlineStr">
        <is>
          <t>primary</t>
        </is>
      </c>
      <c r="G940" t="inlineStr">
        <is>
          <t>extensible</t>
        </is>
      </c>
      <c r="H940" t="inlineStr">
        <is>
          <t>true</t>
        </is>
      </c>
      <c r="I940" t="inlineStr">
        <is>
          <t>3</t>
        </is>
      </c>
      <c r="J940" t="inlineStr">
        <is>
          <t>HL7 gender-identity minimum set; county equity rollup may map to Other</t>
        </is>
      </c>
      <c r="K940" t="inlineStr">
        <is>
          <t>true</t>
        </is>
      </c>
    </row>
    <row r="941">
      <c r="A941" t="inlineStr">
        <is>
          <t>Patient.gender_id</t>
        </is>
      </c>
      <c r="B941" t="inlineStr">
        <is>
          <t>urn:oid:2.16.840.1.113883.5.1008</t>
        </is>
      </c>
      <c r="C941" t="inlineStr">
        <is>
          <t>UNK</t>
        </is>
      </c>
      <c r="D941" t="inlineStr">
        <is>
          <t>Unknown</t>
        </is>
      </c>
      <c r="E941" t="inlineStr">
        <is>
          <t>nullflavor</t>
        </is>
      </c>
      <c r="F941" t="inlineStr">
        <is>
          <t>nullflavor</t>
        </is>
      </c>
      <c r="G941" t="inlineStr">
        <is>
          <t>example</t>
        </is>
      </c>
      <c r="H941" t="inlineStr">
        <is>
          <t>true</t>
        </is>
      </c>
      <c r="I941" t="inlineStr">
        <is>
          <t>10</t>
        </is>
      </c>
      <c r="J941" t="inlineStr">
        <is>
          <t>HL7 v3 NullFlavor; not a gender identity answer</t>
        </is>
      </c>
      <c r="K941" t="inlineStr">
        <is>
          <t>true</t>
        </is>
      </c>
    </row>
    <row r="942">
      <c r="A942" t="inlineStr">
        <is>
          <t>Patient.gender_id</t>
        </is>
      </c>
      <c r="B942" t="inlineStr">
        <is>
          <t>http://terminology.hl7.org/CodeSystem/data-absent-reason</t>
        </is>
      </c>
      <c r="C942" t="inlineStr">
        <is>
          <t>asked-declined</t>
        </is>
      </c>
      <c r="D942" t="inlineStr">
        <is>
          <t>Asked but declined</t>
        </is>
      </c>
      <c r="E942" t="inlineStr">
        <is>
          <t>exclude</t>
        </is>
      </c>
      <c r="F942" t="inlineStr">
        <is>
          <t>primary</t>
        </is>
      </c>
      <c r="G942" t="inlineStr">
        <is>
          <t>example</t>
        </is>
      </c>
      <c r="H942" t="inlineStr">
        <is>
          <t>true</t>
        </is>
      </c>
      <c r="I942" t="inlineStr">
        <is>
          <t>20</t>
        </is>
      </c>
      <c r="J942" t="inlineStr">
        <is>
          <t>FHIR Data Absent Reason; exclude from equity aggregates</t>
        </is>
      </c>
      <c r="K942" t="inlineStr">
        <is>
          <t>true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19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8" customWidth="1" min="3" max="3"/>
    <col width="38" customWidth="1" min="4" max="4"/>
    <col width="19" customWidth="1" min="5" max="5"/>
    <col width="38" customWidth="1" min="6" max="6"/>
    <col width="17" customWidth="1" min="7" max="7"/>
    <col width="38" customWidth="1" min="8" max="8"/>
    <col width="14" customWidth="1" min="9" max="9"/>
    <col width="17" customWidth="1" min="10" max="10"/>
    <col width="16" customWidth="1" min="11" max="11"/>
    <col width="14" customWidth="1" min="12" max="12"/>
    <col width="38" customWidth="1" min="13" max="13"/>
  </cols>
  <sheetData>
    <row r="1">
      <c r="A1" s="4" t="inlineStr">
        <is>
          <t>source_id</t>
        </is>
      </c>
      <c r="B1" s="4" t="inlineStr">
        <is>
          <t>source_field</t>
        </is>
      </c>
      <c r="C1" s="4" t="inlineStr">
        <is>
          <t>source_code</t>
        </is>
      </c>
      <c r="D1" s="4" t="inlineStr">
        <is>
          <t>source_display</t>
        </is>
      </c>
      <c r="E1" s="4" t="inlineStr">
        <is>
          <t>semantic_id</t>
        </is>
      </c>
      <c r="F1" s="4" t="inlineStr">
        <is>
          <t>target_code_system_oid</t>
        </is>
      </c>
      <c r="G1" s="4" t="inlineStr">
        <is>
          <t>target_code</t>
        </is>
      </c>
      <c r="H1" s="4" t="inlineStr">
        <is>
          <t>target_display</t>
        </is>
      </c>
      <c r="I1" s="4" t="inlineStr">
        <is>
          <t>mapping_type</t>
        </is>
      </c>
      <c r="J1" s="4" t="inlineStr">
        <is>
          <t>approval_status</t>
        </is>
      </c>
      <c r="K1" s="4" t="inlineStr">
        <is>
          <t>effective_from</t>
        </is>
      </c>
      <c r="L1" s="4" t="inlineStr">
        <is>
          <t>effective_to</t>
        </is>
      </c>
      <c r="M1" s="4" t="inlineStr">
        <is>
          <t>notes</t>
        </is>
      </c>
    </row>
    <row r="2">
      <c r="A2" t="inlineStr">
        <is>
          <t>county_master</t>
        </is>
      </c>
      <c r="B2" t="inlineStr">
        <is>
          <t>Race</t>
        </is>
      </c>
      <c r="C2" t="inlineStr">
        <is>
          <t>African American</t>
        </is>
      </c>
      <c r="D2" t="inlineStr">
        <is>
          <t>African American</t>
        </is>
      </c>
      <c r="E2" t="inlineStr">
        <is>
          <t>Patient.race</t>
        </is>
      </c>
      <c r="F2" t="inlineStr">
        <is>
          <t>urn:oid:2.16.840.1.113883.6.238</t>
        </is>
      </c>
      <c r="G2" t="inlineStr">
        <is>
          <t>2054-5</t>
        </is>
      </c>
      <c r="H2" t="inlineStr">
        <is>
          <t>Black or African American</t>
        </is>
      </c>
      <c r="I2" t="inlineStr">
        <is>
          <t>rollup</t>
        </is>
      </c>
      <c r="J2" t="inlineStr">
        <is>
          <t>Approved</t>
        </is>
      </c>
      <c r="K2" t="inlineStr"/>
      <c r="L2" t="inlineStr"/>
      <c r="M2" t="inlineStr">
        <is>
          <t>SHIE master-demographics survivorship workbook; Table 4/5/2 SQL; Table 5 race groupings → CDCREC OMB</t>
        </is>
      </c>
    </row>
    <row r="3">
      <c r="A3" t="inlineStr">
        <is>
          <t>county_master</t>
        </is>
      </c>
      <c r="B3" t="inlineStr">
        <is>
          <t>Race</t>
        </is>
      </c>
      <c r="C3" t="inlineStr">
        <is>
          <t>American Indian</t>
        </is>
      </c>
      <c r="D3" t="inlineStr">
        <is>
          <t>American Indian</t>
        </is>
      </c>
      <c r="E3" t="inlineStr">
        <is>
          <t>Patient.race</t>
        </is>
      </c>
      <c r="F3" t="inlineStr">
        <is>
          <t>urn:oid:2.16.840.1.113883.6.238</t>
        </is>
      </c>
      <c r="G3" t="inlineStr">
        <is>
          <t>1002-5</t>
        </is>
      </c>
      <c r="H3" t="inlineStr">
        <is>
          <t>American Indian or Alaska Native</t>
        </is>
      </c>
      <c r="I3" t="inlineStr">
        <is>
          <t>rollup</t>
        </is>
      </c>
      <c r="J3" t="inlineStr">
        <is>
          <t>Approved</t>
        </is>
      </c>
      <c r="K3" t="inlineStr"/>
      <c r="L3" t="inlineStr"/>
      <c r="M3" t="inlineStr">
        <is>
          <t>SHIE master-demographics survivorship workbook; Table 4/5/2 SQL; Table 5 race groupings → CDCREC OMB</t>
        </is>
      </c>
    </row>
    <row r="4">
      <c r="A4" t="inlineStr">
        <is>
          <t>county_master</t>
        </is>
      </c>
      <c r="B4" t="inlineStr">
        <is>
          <t>Race</t>
        </is>
      </c>
      <c r="C4" t="inlineStr">
        <is>
          <t>American Indian or Alaska Native</t>
        </is>
      </c>
      <c r="D4" t="inlineStr">
        <is>
          <t>American Indian or Alaska Native</t>
        </is>
      </c>
      <c r="E4" t="inlineStr">
        <is>
          <t>Patient.race</t>
        </is>
      </c>
      <c r="F4" t="inlineStr">
        <is>
          <t>urn:oid:2.16.840.1.113883.6.238</t>
        </is>
      </c>
      <c r="G4" t="inlineStr">
        <is>
          <t>1002-5</t>
        </is>
      </c>
      <c r="H4" t="inlineStr">
        <is>
          <t>American Indian or Alaska Native</t>
        </is>
      </c>
      <c r="I4" t="inlineStr">
        <is>
          <t>rollup</t>
        </is>
      </c>
      <c r="J4" t="inlineStr">
        <is>
          <t>Approved</t>
        </is>
      </c>
      <c r="K4" t="inlineStr"/>
      <c r="L4" t="inlineStr"/>
      <c r="M4" t="inlineStr">
        <is>
          <t>SHIE master-demographics survivorship workbook; Table 4/5/2 SQL; Table 5 race groupings → CDCREC OMB</t>
        </is>
      </c>
    </row>
    <row r="5">
      <c r="A5" t="inlineStr">
        <is>
          <t>county_master</t>
        </is>
      </c>
      <c r="B5" t="inlineStr">
        <is>
          <t>Race</t>
        </is>
      </c>
      <c r="C5" t="inlineStr">
        <is>
          <t>Asian</t>
        </is>
      </c>
      <c r="D5" t="inlineStr">
        <is>
          <t>Asian</t>
        </is>
      </c>
      <c r="E5" t="inlineStr">
        <is>
          <t>Patient.race</t>
        </is>
      </c>
      <c r="F5" t="inlineStr">
        <is>
          <t>urn:oid:2.16.840.1.113883.6.238</t>
        </is>
      </c>
      <c r="G5" t="inlineStr">
        <is>
          <t>2028-9</t>
        </is>
      </c>
      <c r="H5" t="inlineStr">
        <is>
          <t>Asian</t>
        </is>
      </c>
      <c r="I5" t="inlineStr">
        <is>
          <t>rollup</t>
        </is>
      </c>
      <c r="J5" t="inlineStr">
        <is>
          <t>Approved</t>
        </is>
      </c>
      <c r="K5" t="inlineStr"/>
      <c r="L5" t="inlineStr"/>
      <c r="M5" t="inlineStr">
        <is>
          <t>SHIE master-demographics survivorship workbook; Table 4/5/2 SQL; Table 5 race groupings → CDCREC OMB</t>
        </is>
      </c>
    </row>
    <row r="6">
      <c r="A6" t="inlineStr">
        <is>
          <t>county_master</t>
        </is>
      </c>
      <c r="B6" t="inlineStr">
        <is>
          <t>Race</t>
        </is>
      </c>
      <c r="C6" t="inlineStr">
        <is>
          <t>Asian /White</t>
        </is>
      </c>
      <c r="D6" t="inlineStr">
        <is>
          <t>Asian /White</t>
        </is>
      </c>
      <c r="E6" t="inlineStr">
        <is>
          <t>Patient.race</t>
        </is>
      </c>
      <c r="F6" t="inlineStr">
        <is>
          <t>urn:oid:2.16.840.1.113883.6.238</t>
        </is>
      </c>
      <c r="G6" t="inlineStr">
        <is>
          <t>2131-1</t>
        </is>
      </c>
      <c r="H6" t="inlineStr">
        <is>
          <t>Other Race</t>
        </is>
      </c>
      <c r="I6" t="inlineStr">
        <is>
          <t>rollup</t>
        </is>
      </c>
      <c r="J6" t="inlineStr">
        <is>
          <t>Approved</t>
        </is>
      </c>
      <c r="K6" t="inlineStr"/>
      <c r="L6" t="inlineStr"/>
      <c r="M6" t="inlineStr">
        <is>
          <t>SHIE master-demographics survivorship workbook; Table 4/5/2 SQL; Table 5 race groupings → CDCREC OMB</t>
        </is>
      </c>
    </row>
    <row r="7">
      <c r="A7" t="inlineStr">
        <is>
          <t>county_master</t>
        </is>
      </c>
      <c r="B7" t="inlineStr">
        <is>
          <t>Race</t>
        </is>
      </c>
      <c r="C7" t="inlineStr">
        <is>
          <t>Asian/ White</t>
        </is>
      </c>
      <c r="D7" t="inlineStr">
        <is>
          <t>Asian/ White</t>
        </is>
      </c>
      <c r="E7" t="inlineStr">
        <is>
          <t>Patient.race</t>
        </is>
      </c>
      <c r="F7" t="inlineStr">
        <is>
          <t>urn:oid:2.16.840.1.113883.6.238</t>
        </is>
      </c>
      <c r="G7" t="inlineStr">
        <is>
          <t>2131-1</t>
        </is>
      </c>
      <c r="H7" t="inlineStr">
        <is>
          <t>Other Race</t>
        </is>
      </c>
      <c r="I7" t="inlineStr">
        <is>
          <t>rollup</t>
        </is>
      </c>
      <c r="J7" t="inlineStr">
        <is>
          <t>Approved</t>
        </is>
      </c>
      <c r="K7" t="inlineStr"/>
      <c r="L7" t="inlineStr"/>
      <c r="M7" t="inlineStr">
        <is>
          <t>SHIE master-demographics survivorship workbook; Table 4/5/2 SQL; Table 5 race groupings → CDCREC OMB</t>
        </is>
      </c>
    </row>
    <row r="8">
      <c r="A8" t="inlineStr">
        <is>
          <t>county_master</t>
        </is>
      </c>
      <c r="B8" t="inlineStr">
        <is>
          <t>Race</t>
        </is>
      </c>
      <c r="C8" t="inlineStr">
        <is>
          <t>Asian Indian</t>
        </is>
      </c>
      <c r="D8" t="inlineStr">
        <is>
          <t>Asian Indian</t>
        </is>
      </c>
      <c r="E8" t="inlineStr">
        <is>
          <t>Patient.race</t>
        </is>
      </c>
      <c r="F8" t="inlineStr">
        <is>
          <t>urn:oid:2.16.840.1.113883.6.238</t>
        </is>
      </c>
      <c r="G8" t="inlineStr">
        <is>
          <t>2028-9</t>
        </is>
      </c>
      <c r="H8" t="inlineStr">
        <is>
          <t>Asian</t>
        </is>
      </c>
      <c r="I8" t="inlineStr">
        <is>
          <t>rollup</t>
        </is>
      </c>
      <c r="J8" t="inlineStr">
        <is>
          <t>Approved</t>
        </is>
      </c>
      <c r="K8" t="inlineStr"/>
      <c r="L8" t="inlineStr"/>
      <c r="M8" t="inlineStr">
        <is>
          <t>SHIE master-demographics survivorship workbook; Table 4/5/2 SQL; Table 5 race groupings → CDCREC OMB</t>
        </is>
      </c>
    </row>
    <row r="9">
      <c r="A9" t="inlineStr">
        <is>
          <t>county_master</t>
        </is>
      </c>
      <c r="B9" t="inlineStr">
        <is>
          <t>Race</t>
        </is>
      </c>
      <c r="C9" t="inlineStr">
        <is>
          <t>Black</t>
        </is>
      </c>
      <c r="D9" t="inlineStr">
        <is>
          <t>Black</t>
        </is>
      </c>
      <c r="E9" t="inlineStr">
        <is>
          <t>Patient.race</t>
        </is>
      </c>
      <c r="F9" t="inlineStr">
        <is>
          <t>urn:oid:2.16.840.1.113883.6.238</t>
        </is>
      </c>
      <c r="G9" t="inlineStr">
        <is>
          <t>2054-5</t>
        </is>
      </c>
      <c r="H9" t="inlineStr">
        <is>
          <t>Black or African American</t>
        </is>
      </c>
      <c r="I9" t="inlineStr">
        <is>
          <t>rollup</t>
        </is>
      </c>
      <c r="J9" t="inlineStr">
        <is>
          <t>Approved</t>
        </is>
      </c>
      <c r="K9" t="inlineStr"/>
      <c r="L9" t="inlineStr"/>
      <c r="M9" t="inlineStr">
        <is>
          <t>SHIE master-demographics survivorship workbook; Table 4/5/2 SQL; Table 5 race groupings → CDCREC OMB</t>
        </is>
      </c>
    </row>
    <row r="10">
      <c r="A10" t="inlineStr">
        <is>
          <t>county_master</t>
        </is>
      </c>
      <c r="B10" t="inlineStr">
        <is>
          <t>Race</t>
        </is>
      </c>
      <c r="C10" t="inlineStr">
        <is>
          <t>Black or African American</t>
        </is>
      </c>
      <c r="D10" t="inlineStr">
        <is>
          <t>Black or African American</t>
        </is>
      </c>
      <c r="E10" t="inlineStr">
        <is>
          <t>Patient.race</t>
        </is>
      </c>
      <c r="F10" t="inlineStr">
        <is>
          <t>urn:oid:2.16.840.1.113883.6.238</t>
        </is>
      </c>
      <c r="G10" t="inlineStr">
        <is>
          <t>2054-5</t>
        </is>
      </c>
      <c r="H10" t="inlineStr">
        <is>
          <t>Black or African American</t>
        </is>
      </c>
      <c r="I10" t="inlineStr">
        <is>
          <t>rollup</t>
        </is>
      </c>
      <c r="J10" t="inlineStr">
        <is>
          <t>Approved</t>
        </is>
      </c>
      <c r="K10" t="inlineStr"/>
      <c r="L10" t="inlineStr"/>
      <c r="M10" t="inlineStr">
        <is>
          <t>SHIE master-demographics survivorship workbook; Table 4/5/2 SQL; Table 5 race groupings → CDCREC OMB</t>
        </is>
      </c>
    </row>
    <row r="11">
      <c r="A11" t="inlineStr">
        <is>
          <t>county_master</t>
        </is>
      </c>
      <c r="B11" t="inlineStr">
        <is>
          <t>Race</t>
        </is>
      </c>
      <c r="C11" t="inlineStr">
        <is>
          <t>Black Or African American /White</t>
        </is>
      </c>
      <c r="D11" t="inlineStr">
        <is>
          <t>Black Or African American /White</t>
        </is>
      </c>
      <c r="E11" t="inlineStr">
        <is>
          <t>Patient.race</t>
        </is>
      </c>
      <c r="F11" t="inlineStr">
        <is>
          <t>urn:oid:2.16.840.1.113883.6.238</t>
        </is>
      </c>
      <c r="G11" t="inlineStr">
        <is>
          <t>2131-1</t>
        </is>
      </c>
      <c r="H11" t="inlineStr">
        <is>
          <t>Other Race</t>
        </is>
      </c>
      <c r="I11" t="inlineStr">
        <is>
          <t>rollup</t>
        </is>
      </c>
      <c r="J11" t="inlineStr">
        <is>
          <t>Approved</t>
        </is>
      </c>
      <c r="K11" t="inlineStr"/>
      <c r="L11" t="inlineStr"/>
      <c r="M11" t="inlineStr">
        <is>
          <t>SHIE master-demographics survivorship workbook; Table 4/5/2 SQL; Table 5 race groupings → CDCREC OMB</t>
        </is>
      </c>
    </row>
    <row r="12">
      <c r="A12" t="inlineStr">
        <is>
          <t>county_master</t>
        </is>
      </c>
      <c r="B12" t="inlineStr">
        <is>
          <t>Race</t>
        </is>
      </c>
      <c r="C12" t="inlineStr">
        <is>
          <t>Black Or African American/ White</t>
        </is>
      </c>
      <c r="D12" t="inlineStr">
        <is>
          <t>Black Or African American/ White</t>
        </is>
      </c>
      <c r="E12" t="inlineStr">
        <is>
          <t>Patient.race</t>
        </is>
      </c>
      <c r="F12" t="inlineStr">
        <is>
          <t>urn:oid:2.16.840.1.113883.6.238</t>
        </is>
      </c>
      <c r="G12" t="inlineStr">
        <is>
          <t>2131-1</t>
        </is>
      </c>
      <c r="H12" t="inlineStr">
        <is>
          <t>Other Race</t>
        </is>
      </c>
      <c r="I12" t="inlineStr">
        <is>
          <t>rollup</t>
        </is>
      </c>
      <c r="J12" t="inlineStr">
        <is>
          <t>Approved</t>
        </is>
      </c>
      <c r="K12" t="inlineStr"/>
      <c r="L12" t="inlineStr"/>
      <c r="M12" t="inlineStr">
        <is>
          <t>SHIE master-demographics survivorship workbook; Table 4/5/2 SQL; Table 5 race groupings → CDCREC OMB</t>
        </is>
      </c>
    </row>
    <row r="13">
      <c r="A13" t="inlineStr">
        <is>
          <t>county_master</t>
        </is>
      </c>
      <c r="B13" t="inlineStr">
        <is>
          <t>Race</t>
        </is>
      </c>
      <c r="C13" t="inlineStr">
        <is>
          <t>Cambodian</t>
        </is>
      </c>
      <c r="D13" t="inlineStr">
        <is>
          <t>Cambodian</t>
        </is>
      </c>
      <c r="E13" t="inlineStr">
        <is>
          <t>Patient.race</t>
        </is>
      </c>
      <c r="F13" t="inlineStr">
        <is>
          <t>urn:oid:2.16.840.1.113883.6.238</t>
        </is>
      </c>
      <c r="G13" t="inlineStr">
        <is>
          <t>2028-9</t>
        </is>
      </c>
      <c r="H13" t="inlineStr">
        <is>
          <t>Asian</t>
        </is>
      </c>
      <c r="I13" t="inlineStr">
        <is>
          <t>rollup</t>
        </is>
      </c>
      <c r="J13" t="inlineStr">
        <is>
          <t>Approved</t>
        </is>
      </c>
      <c r="K13" t="inlineStr"/>
      <c r="L13" t="inlineStr"/>
      <c r="M13" t="inlineStr">
        <is>
          <t>SHIE master-demographics survivorship workbook; Table 4/5/2 SQL; Table 5 race groupings → CDCREC OMB</t>
        </is>
      </c>
    </row>
    <row r="14">
      <c r="A14" t="inlineStr">
        <is>
          <t>county_master</t>
        </is>
      </c>
      <c r="B14" t="inlineStr">
        <is>
          <t>Race</t>
        </is>
      </c>
      <c r="C14" t="inlineStr">
        <is>
          <t>CAUCASIAN</t>
        </is>
      </c>
      <c r="D14" t="inlineStr">
        <is>
          <t>CAUCASIAN</t>
        </is>
      </c>
      <c r="E14" t="inlineStr">
        <is>
          <t>Patient.race</t>
        </is>
      </c>
      <c r="F14" t="inlineStr">
        <is>
          <t>urn:oid:2.16.840.1.113883.6.238</t>
        </is>
      </c>
      <c r="G14" t="inlineStr">
        <is>
          <t>2106-3</t>
        </is>
      </c>
      <c r="H14" t="inlineStr">
        <is>
          <t>White</t>
        </is>
      </c>
      <c r="I14" t="inlineStr">
        <is>
          <t>rollup</t>
        </is>
      </c>
      <c r="J14" t="inlineStr">
        <is>
          <t>Approved</t>
        </is>
      </c>
      <c r="K14" t="inlineStr"/>
      <c r="L14" t="inlineStr"/>
      <c r="M14" t="inlineStr">
        <is>
          <t>SHIE master-demographics survivorship workbook; Table 4/5/2 SQL; Table 5 race groupings → CDCREC OMB</t>
        </is>
      </c>
    </row>
    <row r="15">
      <c r="A15" t="inlineStr">
        <is>
          <t>county_master</t>
        </is>
      </c>
      <c r="B15" t="inlineStr">
        <is>
          <t>Race</t>
        </is>
      </c>
      <c r="C15" t="inlineStr">
        <is>
          <t>Causasian</t>
        </is>
      </c>
      <c r="D15" t="inlineStr">
        <is>
          <t>Causasian</t>
        </is>
      </c>
      <c r="E15" t="inlineStr">
        <is>
          <t>Patient.race</t>
        </is>
      </c>
      <c r="F15" t="inlineStr">
        <is>
          <t>urn:oid:2.16.840.1.113883.6.238</t>
        </is>
      </c>
      <c r="G15" t="inlineStr">
        <is>
          <t>2106-3</t>
        </is>
      </c>
      <c r="H15" t="inlineStr">
        <is>
          <t>White</t>
        </is>
      </c>
      <c r="I15" t="inlineStr">
        <is>
          <t>rollup</t>
        </is>
      </c>
      <c r="J15" t="inlineStr">
        <is>
          <t>Approved</t>
        </is>
      </c>
      <c r="K15" t="inlineStr"/>
      <c r="L15" t="inlineStr"/>
      <c r="M15" t="inlineStr">
        <is>
          <t>SHIE master-demographics survivorship workbook; Table 4/5/2 SQL; Table 5 race groupings → CDCREC OMB</t>
        </is>
      </c>
    </row>
    <row r="16">
      <c r="A16" t="inlineStr">
        <is>
          <t>county_master</t>
        </is>
      </c>
      <c r="B16" t="inlineStr">
        <is>
          <t>Race</t>
        </is>
      </c>
      <c r="C16" t="inlineStr">
        <is>
          <t>Chinese</t>
        </is>
      </c>
      <c r="D16" t="inlineStr">
        <is>
          <t>Chinese</t>
        </is>
      </c>
      <c r="E16" t="inlineStr">
        <is>
          <t>Patient.race</t>
        </is>
      </c>
      <c r="F16" t="inlineStr">
        <is>
          <t>urn:oid:2.16.840.1.113883.6.238</t>
        </is>
      </c>
      <c r="G16" t="inlineStr">
        <is>
          <t>2028-9</t>
        </is>
      </c>
      <c r="H16" t="inlineStr">
        <is>
          <t>Asian</t>
        </is>
      </c>
      <c r="I16" t="inlineStr">
        <is>
          <t>rollup</t>
        </is>
      </c>
      <c r="J16" t="inlineStr">
        <is>
          <t>Approved</t>
        </is>
      </c>
      <c r="K16" t="inlineStr"/>
      <c r="L16" t="inlineStr"/>
      <c r="M16" t="inlineStr">
        <is>
          <t>SHIE master-demographics survivorship workbook; Table 4/5/2 SQL; Table 5 race groupings → CDCREC OMB</t>
        </is>
      </c>
    </row>
    <row r="17">
      <c r="A17" t="inlineStr">
        <is>
          <t>county_master</t>
        </is>
      </c>
      <c r="B17" t="inlineStr">
        <is>
          <t>Race</t>
        </is>
      </c>
      <c r="C17" t="inlineStr">
        <is>
          <t>DTS</t>
        </is>
      </c>
      <c r="D17" t="inlineStr">
        <is>
          <t>DTS</t>
        </is>
      </c>
      <c r="E17" t="inlineStr">
        <is>
          <t>Patient.race</t>
        </is>
      </c>
      <c r="F17" t="inlineStr">
        <is>
          <t>urn:oid:2.16.840.1.113883.6.238</t>
        </is>
      </c>
      <c r="G17" t="inlineStr"/>
      <c r="H17" t="inlineStr"/>
      <c r="I17" t="inlineStr">
        <is>
          <t>exclude</t>
        </is>
      </c>
      <c r="J17" t="inlineStr">
        <is>
          <t>Approved</t>
        </is>
      </c>
      <c r="K17" t="inlineStr"/>
      <c r="L17" t="inlineStr"/>
      <c r="M17" t="inlineStr">
        <is>
          <t>Excluded from county aggregates per Table 5 survivorship</t>
        </is>
      </c>
    </row>
    <row r="18">
      <c r="A18" t="inlineStr">
        <is>
          <t>county_master</t>
        </is>
      </c>
      <c r="B18" t="inlineStr">
        <is>
          <t>Race</t>
        </is>
      </c>
      <c r="C18" t="inlineStr">
        <is>
          <t>Eskimo</t>
        </is>
      </c>
      <c r="D18" t="inlineStr">
        <is>
          <t>Eskimo</t>
        </is>
      </c>
      <c r="E18" t="inlineStr">
        <is>
          <t>Patient.race</t>
        </is>
      </c>
      <c r="F18" t="inlineStr">
        <is>
          <t>urn:oid:2.16.840.1.113883.6.238</t>
        </is>
      </c>
      <c r="G18" t="inlineStr">
        <is>
          <t>1002-5</t>
        </is>
      </c>
      <c r="H18" t="inlineStr">
        <is>
          <t>American Indian or Alaska Native</t>
        </is>
      </c>
      <c r="I18" t="inlineStr">
        <is>
          <t>rollup</t>
        </is>
      </c>
      <c r="J18" t="inlineStr">
        <is>
          <t>Approved</t>
        </is>
      </c>
      <c r="K18" t="inlineStr"/>
      <c r="L18" t="inlineStr"/>
      <c r="M18" t="inlineStr">
        <is>
          <t>SHIE master-demographics survivorship workbook; Table 4/5/2 SQL; Table 5 race groupings → CDCREC OMB</t>
        </is>
      </c>
    </row>
    <row r="19">
      <c r="A19" t="inlineStr">
        <is>
          <t>county_master</t>
        </is>
      </c>
      <c r="B19" t="inlineStr">
        <is>
          <t>Race</t>
        </is>
      </c>
      <c r="C19" t="inlineStr">
        <is>
          <t>Filipino</t>
        </is>
      </c>
      <c r="D19" t="inlineStr">
        <is>
          <t>Filipino</t>
        </is>
      </c>
      <c r="E19" t="inlineStr">
        <is>
          <t>Patient.race</t>
        </is>
      </c>
      <c r="F19" t="inlineStr">
        <is>
          <t>urn:oid:2.16.840.1.113883.6.238</t>
        </is>
      </c>
      <c r="G19" t="inlineStr">
        <is>
          <t>2028-9</t>
        </is>
      </c>
      <c r="H19" t="inlineStr">
        <is>
          <t>Asian</t>
        </is>
      </c>
      <c r="I19" t="inlineStr">
        <is>
          <t>rollup</t>
        </is>
      </c>
      <c r="J19" t="inlineStr">
        <is>
          <t>Approved</t>
        </is>
      </c>
      <c r="K19" t="inlineStr"/>
      <c r="L19" t="inlineStr"/>
      <c r="M19" t="inlineStr">
        <is>
          <t>SHIE master-demographics survivorship workbook; Table 4/5/2 SQL; Table 5 race groupings → CDCREC OMB</t>
        </is>
      </c>
    </row>
    <row r="20">
      <c r="A20" t="inlineStr">
        <is>
          <t>county_master</t>
        </is>
      </c>
      <c r="B20" t="inlineStr">
        <is>
          <t>Race</t>
        </is>
      </c>
      <c r="C20" t="inlineStr">
        <is>
          <t>Guamanian or Chamorro</t>
        </is>
      </c>
      <c r="D20" t="inlineStr">
        <is>
          <t>Guamanian or Chamorro</t>
        </is>
      </c>
      <c r="E20" t="inlineStr">
        <is>
          <t>Patient.race</t>
        </is>
      </c>
      <c r="F20" t="inlineStr">
        <is>
          <t>urn:oid:2.16.840.1.113883.6.238</t>
        </is>
      </c>
      <c r="G20" t="inlineStr">
        <is>
          <t>2076-8</t>
        </is>
      </c>
      <c r="H20" t="inlineStr">
        <is>
          <t>Native Hawaiian or Other Pacific Islander</t>
        </is>
      </c>
      <c r="I20" t="inlineStr">
        <is>
          <t>rollup</t>
        </is>
      </c>
      <c r="J20" t="inlineStr">
        <is>
          <t>Approved</t>
        </is>
      </c>
      <c r="K20" t="inlineStr"/>
      <c r="L20" t="inlineStr"/>
      <c r="M20" t="inlineStr">
        <is>
          <t>SHIE master-demographics survivorship workbook; Table 4/5/2 SQL; Table 5 race groupings → CDCREC OMB</t>
        </is>
      </c>
    </row>
    <row r="21">
      <c r="A21" t="inlineStr">
        <is>
          <t>county_master</t>
        </is>
      </c>
      <c r="B21" t="inlineStr">
        <is>
          <t>Race</t>
        </is>
      </c>
      <c r="C21" t="inlineStr">
        <is>
          <t>Japanese</t>
        </is>
      </c>
      <c r="D21" t="inlineStr">
        <is>
          <t>Japanese</t>
        </is>
      </c>
      <c r="E21" t="inlineStr">
        <is>
          <t>Patient.race</t>
        </is>
      </c>
      <c r="F21" t="inlineStr">
        <is>
          <t>urn:oid:2.16.840.1.113883.6.238</t>
        </is>
      </c>
      <c r="G21" t="inlineStr">
        <is>
          <t>2028-9</t>
        </is>
      </c>
      <c r="H21" t="inlineStr">
        <is>
          <t>Asian</t>
        </is>
      </c>
      <c r="I21" t="inlineStr">
        <is>
          <t>rollup</t>
        </is>
      </c>
      <c r="J21" t="inlineStr">
        <is>
          <t>Approved</t>
        </is>
      </c>
      <c r="K21" t="inlineStr"/>
      <c r="L21" t="inlineStr"/>
      <c r="M21" t="inlineStr">
        <is>
          <t>SHIE master-demographics survivorship workbook; Table 4/5/2 SQL; Table 5 race groupings → CDCREC OMB</t>
        </is>
      </c>
    </row>
    <row r="22">
      <c r="A22" t="inlineStr">
        <is>
          <t>county_master</t>
        </is>
      </c>
      <c r="B22" t="inlineStr">
        <is>
          <t>Race</t>
        </is>
      </c>
      <c r="C22" t="inlineStr">
        <is>
          <t>Korean</t>
        </is>
      </c>
      <c r="D22" t="inlineStr">
        <is>
          <t>Korean</t>
        </is>
      </c>
      <c r="E22" t="inlineStr">
        <is>
          <t>Patient.race</t>
        </is>
      </c>
      <c r="F22" t="inlineStr">
        <is>
          <t>urn:oid:2.16.840.1.113883.6.238</t>
        </is>
      </c>
      <c r="G22" t="inlineStr">
        <is>
          <t>2028-9</t>
        </is>
      </c>
      <c r="H22" t="inlineStr">
        <is>
          <t>Asian</t>
        </is>
      </c>
      <c r="I22" t="inlineStr">
        <is>
          <t>rollup</t>
        </is>
      </c>
      <c r="J22" t="inlineStr">
        <is>
          <t>Approved</t>
        </is>
      </c>
      <c r="K22" t="inlineStr"/>
      <c r="L22" t="inlineStr"/>
      <c r="M22" t="inlineStr">
        <is>
          <t>SHIE master-demographics survivorship workbook; Table 4/5/2 SQL; Table 5 race groupings → CDCREC OMB</t>
        </is>
      </c>
    </row>
    <row r="23">
      <c r="A23" t="inlineStr">
        <is>
          <t>county_master</t>
        </is>
      </c>
      <c r="B23" t="inlineStr">
        <is>
          <t>Race</t>
        </is>
      </c>
      <c r="C23" t="inlineStr">
        <is>
          <t>Laotian</t>
        </is>
      </c>
      <c r="D23" t="inlineStr">
        <is>
          <t>Laotian</t>
        </is>
      </c>
      <c r="E23" t="inlineStr">
        <is>
          <t>Patient.race</t>
        </is>
      </c>
      <c r="F23" t="inlineStr">
        <is>
          <t>urn:oid:2.16.840.1.113883.6.238</t>
        </is>
      </c>
      <c r="G23" t="inlineStr">
        <is>
          <t>2028-9</t>
        </is>
      </c>
      <c r="H23" t="inlineStr">
        <is>
          <t>Asian</t>
        </is>
      </c>
      <c r="I23" t="inlineStr">
        <is>
          <t>rollup</t>
        </is>
      </c>
      <c r="J23" t="inlineStr">
        <is>
          <t>Approved</t>
        </is>
      </c>
      <c r="K23" t="inlineStr"/>
      <c r="L23" t="inlineStr"/>
      <c r="M23" t="inlineStr">
        <is>
          <t>SHIE master-demographics survivorship workbook; Table 4/5/2 SQL; Table 5 race groupings → CDCREC OMB</t>
        </is>
      </c>
    </row>
    <row r="24">
      <c r="A24" t="inlineStr">
        <is>
          <t>county_master</t>
        </is>
      </c>
      <c r="B24" t="inlineStr">
        <is>
          <t>Race</t>
        </is>
      </c>
      <c r="C24" t="inlineStr">
        <is>
          <t>More than one race</t>
        </is>
      </c>
      <c r="D24" t="inlineStr">
        <is>
          <t>More than one race</t>
        </is>
      </c>
      <c r="E24" t="inlineStr">
        <is>
          <t>Patient.race</t>
        </is>
      </c>
      <c r="F24" t="inlineStr">
        <is>
          <t>urn:oid:2.16.840.1.113883.6.238</t>
        </is>
      </c>
      <c r="G24" t="inlineStr">
        <is>
          <t>2131-1</t>
        </is>
      </c>
      <c r="H24" t="inlineStr">
        <is>
          <t>Other Race</t>
        </is>
      </c>
      <c r="I24" t="inlineStr">
        <is>
          <t>rollup</t>
        </is>
      </c>
      <c r="J24" t="inlineStr">
        <is>
          <t>Approved</t>
        </is>
      </c>
      <c r="K24" t="inlineStr"/>
      <c r="L24" t="inlineStr"/>
      <c r="M24" t="inlineStr">
        <is>
          <t>SHIE master-demographics survivorship workbook; Table 4/5/2 SQL; Table 5 race groupings → CDCREC OMB</t>
        </is>
      </c>
    </row>
    <row r="25">
      <c r="A25" t="inlineStr">
        <is>
          <t>county_master</t>
        </is>
      </c>
      <c r="B25" t="inlineStr">
        <is>
          <t>Race</t>
        </is>
      </c>
      <c r="C25" t="inlineStr">
        <is>
          <t>NAT AMER/ESK/ALEUT</t>
        </is>
      </c>
      <c r="D25" t="inlineStr">
        <is>
          <t>NAT AMER/ESK/ALEUT</t>
        </is>
      </c>
      <c r="E25" t="inlineStr">
        <is>
          <t>Patient.race</t>
        </is>
      </c>
      <c r="F25" t="inlineStr">
        <is>
          <t>urn:oid:2.16.840.1.113883.6.238</t>
        </is>
      </c>
      <c r="G25" t="inlineStr">
        <is>
          <t>1002-5</t>
        </is>
      </c>
      <c r="H25" t="inlineStr">
        <is>
          <t>American Indian or Alaska Native</t>
        </is>
      </c>
      <c r="I25" t="inlineStr">
        <is>
          <t>rollup</t>
        </is>
      </c>
      <c r="J25" t="inlineStr">
        <is>
          <t>Approved</t>
        </is>
      </c>
      <c r="K25" t="inlineStr"/>
      <c r="L25" t="inlineStr"/>
      <c r="M25" t="inlineStr">
        <is>
          <t>SHIE master-demographics survivorship workbook; Table 4/5/2 SQL; Table 5 race groupings → CDCREC OMB</t>
        </is>
      </c>
    </row>
    <row r="26">
      <c r="A26" t="inlineStr">
        <is>
          <t>county_master</t>
        </is>
      </c>
      <c r="B26" t="inlineStr">
        <is>
          <t>Race</t>
        </is>
      </c>
      <c r="C26" t="inlineStr">
        <is>
          <t>Nat Amer/Esk/Aleut</t>
        </is>
      </c>
      <c r="D26" t="inlineStr">
        <is>
          <t>Nat Amer/Esk/Aleut</t>
        </is>
      </c>
      <c r="E26" t="inlineStr">
        <is>
          <t>Patient.race</t>
        </is>
      </c>
      <c r="F26" t="inlineStr">
        <is>
          <t>urn:oid:2.16.840.1.113883.6.238</t>
        </is>
      </c>
      <c r="G26" t="inlineStr">
        <is>
          <t>1002-5</t>
        </is>
      </c>
      <c r="H26" t="inlineStr">
        <is>
          <t>American Indian or Alaska Native</t>
        </is>
      </c>
      <c r="I26" t="inlineStr">
        <is>
          <t>rollup</t>
        </is>
      </c>
      <c r="J26" t="inlineStr">
        <is>
          <t>Approved</t>
        </is>
      </c>
      <c r="K26" t="inlineStr"/>
      <c r="L26" t="inlineStr"/>
      <c r="M26" t="inlineStr">
        <is>
          <t>SHIE master-demographics survivorship workbook; Table 4/5/2 SQL; Table 5 race groupings → CDCREC OMB</t>
        </is>
      </c>
    </row>
    <row r="27">
      <c r="A27" t="inlineStr">
        <is>
          <t>county_master</t>
        </is>
      </c>
      <c r="B27" t="inlineStr">
        <is>
          <t>Race</t>
        </is>
      </c>
      <c r="C27" t="inlineStr">
        <is>
          <t>Native American/Alaskan / White</t>
        </is>
      </c>
      <c r="D27" t="inlineStr">
        <is>
          <t>Native American/Alaskan / White</t>
        </is>
      </c>
      <c r="E27" t="inlineStr">
        <is>
          <t>Patient.race</t>
        </is>
      </c>
      <c r="F27" t="inlineStr">
        <is>
          <t>urn:oid:2.16.840.1.113883.6.238</t>
        </is>
      </c>
      <c r="G27" t="inlineStr">
        <is>
          <t>2131-1</t>
        </is>
      </c>
      <c r="H27" t="inlineStr">
        <is>
          <t>Other Race</t>
        </is>
      </c>
      <c r="I27" t="inlineStr">
        <is>
          <t>rollup</t>
        </is>
      </c>
      <c r="J27" t="inlineStr">
        <is>
          <t>Approved</t>
        </is>
      </c>
      <c r="K27" t="inlineStr"/>
      <c r="L27" t="inlineStr"/>
      <c r="M27" t="inlineStr">
        <is>
          <t>SHIE master-demographics survivorship workbook; Table 4/5/2 SQL; Table 5 race groupings → CDCREC OMB</t>
        </is>
      </c>
    </row>
    <row r="28">
      <c r="A28" t="inlineStr">
        <is>
          <t>county_master</t>
        </is>
      </c>
      <c r="B28" t="inlineStr">
        <is>
          <t>Race</t>
        </is>
      </c>
      <c r="C28" t="inlineStr">
        <is>
          <t>Native American/Alaskan /Black</t>
        </is>
      </c>
      <c r="D28" t="inlineStr">
        <is>
          <t>Native American/Alaskan /Black</t>
        </is>
      </c>
      <c r="E28" t="inlineStr">
        <is>
          <t>Patient.race</t>
        </is>
      </c>
      <c r="F28" t="inlineStr">
        <is>
          <t>urn:oid:2.16.840.1.113883.6.238</t>
        </is>
      </c>
      <c r="G28" t="inlineStr">
        <is>
          <t>2131-1</t>
        </is>
      </c>
      <c r="H28" t="inlineStr">
        <is>
          <t>Other Race</t>
        </is>
      </c>
      <c r="I28" t="inlineStr">
        <is>
          <t>rollup</t>
        </is>
      </c>
      <c r="J28" t="inlineStr">
        <is>
          <t>Approved</t>
        </is>
      </c>
      <c r="K28" t="inlineStr"/>
      <c r="L28" t="inlineStr"/>
      <c r="M28" t="inlineStr">
        <is>
          <t>SHIE master-demographics survivorship workbook; Table 4/5/2 SQL; Table 5 race groupings → CDCREC OMB</t>
        </is>
      </c>
    </row>
    <row r="29">
      <c r="A29" t="inlineStr">
        <is>
          <t>county_master</t>
        </is>
      </c>
      <c r="B29" t="inlineStr">
        <is>
          <t>Race</t>
        </is>
      </c>
      <c r="C29" t="inlineStr">
        <is>
          <t>Native American/ Alaskan/ White</t>
        </is>
      </c>
      <c r="D29" t="inlineStr">
        <is>
          <t>Native American/ Alaskan/ White</t>
        </is>
      </c>
      <c r="E29" t="inlineStr">
        <is>
          <t>Patient.race</t>
        </is>
      </c>
      <c r="F29" t="inlineStr">
        <is>
          <t>urn:oid:2.16.840.1.113883.6.238</t>
        </is>
      </c>
      <c r="G29" t="inlineStr">
        <is>
          <t>2131-1</t>
        </is>
      </c>
      <c r="H29" t="inlineStr">
        <is>
          <t>Other Race</t>
        </is>
      </c>
      <c r="I29" t="inlineStr">
        <is>
          <t>rollup</t>
        </is>
      </c>
      <c r="J29" t="inlineStr">
        <is>
          <t>Approved</t>
        </is>
      </c>
      <c r="K29" t="inlineStr"/>
      <c r="L29" t="inlineStr"/>
      <c r="M29" t="inlineStr">
        <is>
          <t>SHIE master-demographics survivorship workbook; Table 4/5/2 SQL; Table 5 race groupings → CDCREC OMB</t>
        </is>
      </c>
    </row>
    <row r="30">
      <c r="A30" t="inlineStr">
        <is>
          <t>county_master</t>
        </is>
      </c>
      <c r="B30" t="inlineStr">
        <is>
          <t>Race</t>
        </is>
      </c>
      <c r="C30" t="inlineStr">
        <is>
          <t>Native American/ Alaskan/ Black</t>
        </is>
      </c>
      <c r="D30" t="inlineStr">
        <is>
          <t>Native American/ Alaskan/ Black</t>
        </is>
      </c>
      <c r="E30" t="inlineStr">
        <is>
          <t>Patient.race</t>
        </is>
      </c>
      <c r="F30" t="inlineStr">
        <is>
          <t>urn:oid:2.16.840.1.113883.6.238</t>
        </is>
      </c>
      <c r="G30" t="inlineStr">
        <is>
          <t>2131-1</t>
        </is>
      </c>
      <c r="H30" t="inlineStr">
        <is>
          <t>Other Race</t>
        </is>
      </c>
      <c r="I30" t="inlineStr">
        <is>
          <t>rollup</t>
        </is>
      </c>
      <c r="J30" t="inlineStr">
        <is>
          <t>Approved</t>
        </is>
      </c>
      <c r="K30" t="inlineStr"/>
      <c r="L30" t="inlineStr"/>
      <c r="M30" t="inlineStr">
        <is>
          <t>SHIE master-demographics survivorship workbook; Table 4/5/2 SQL; Table 5 race groupings → CDCREC OMB</t>
        </is>
      </c>
    </row>
    <row r="31">
      <c r="A31" t="inlineStr">
        <is>
          <t>county_master</t>
        </is>
      </c>
      <c r="B31" t="inlineStr">
        <is>
          <t>Race</t>
        </is>
      </c>
      <c r="C31" t="inlineStr">
        <is>
          <t>Native Hawaiian</t>
        </is>
      </c>
      <c r="D31" t="inlineStr">
        <is>
          <t>Native Hawaiian</t>
        </is>
      </c>
      <c r="E31" t="inlineStr">
        <is>
          <t>Patient.race</t>
        </is>
      </c>
      <c r="F31" t="inlineStr">
        <is>
          <t>urn:oid:2.16.840.1.113883.6.238</t>
        </is>
      </c>
      <c r="G31" t="inlineStr">
        <is>
          <t>2076-8</t>
        </is>
      </c>
      <c r="H31" t="inlineStr">
        <is>
          <t>Native Hawaiian or Other Pacific Islander</t>
        </is>
      </c>
      <c r="I31" t="inlineStr">
        <is>
          <t>rollup</t>
        </is>
      </c>
      <c r="J31" t="inlineStr">
        <is>
          <t>Approved</t>
        </is>
      </c>
      <c r="K31" t="inlineStr"/>
      <c r="L31" t="inlineStr"/>
      <c r="M31" t="inlineStr">
        <is>
          <t>SHIE master-demographics survivorship workbook; Table 4/5/2 SQL; Table 5 race groupings → CDCREC OMB</t>
        </is>
      </c>
    </row>
    <row r="32">
      <c r="A32" t="inlineStr">
        <is>
          <t>county_master</t>
        </is>
      </c>
      <c r="B32" t="inlineStr">
        <is>
          <t>Race</t>
        </is>
      </c>
      <c r="C32" t="inlineStr">
        <is>
          <t>Native Hawaiian or Other Pacific Islander</t>
        </is>
      </c>
      <c r="D32" t="inlineStr">
        <is>
          <t>Native Hawaiian or Other Pacific Islander</t>
        </is>
      </c>
      <c r="E32" t="inlineStr">
        <is>
          <t>Patient.race</t>
        </is>
      </c>
      <c r="F32" t="inlineStr">
        <is>
          <t>urn:oid:2.16.840.1.113883.6.238</t>
        </is>
      </c>
      <c r="G32" t="inlineStr">
        <is>
          <t>2076-8</t>
        </is>
      </c>
      <c r="H32" t="inlineStr">
        <is>
          <t>Native Hawaiian or Other Pacific Islander</t>
        </is>
      </c>
      <c r="I32" t="inlineStr">
        <is>
          <t>rollup</t>
        </is>
      </c>
      <c r="J32" t="inlineStr">
        <is>
          <t>Approved</t>
        </is>
      </c>
      <c r="K32" t="inlineStr"/>
      <c r="L32" t="inlineStr"/>
      <c r="M32" t="inlineStr">
        <is>
          <t>SHIE master-demographics survivorship workbook; Table 4/5/2 SQL; Table 5 race groupings → CDCREC OMB</t>
        </is>
      </c>
    </row>
    <row r="33">
      <c r="A33" t="inlineStr">
        <is>
          <t>county_master</t>
        </is>
      </c>
      <c r="B33" t="inlineStr">
        <is>
          <t>Race</t>
        </is>
      </c>
      <c r="C33" t="inlineStr">
        <is>
          <t>Other Pacific Islander</t>
        </is>
      </c>
      <c r="D33" t="inlineStr">
        <is>
          <t>Other Pacific Islander</t>
        </is>
      </c>
      <c r="E33" t="inlineStr">
        <is>
          <t>Patient.race</t>
        </is>
      </c>
      <c r="F33" t="inlineStr">
        <is>
          <t>urn:oid:2.16.840.1.113883.6.238</t>
        </is>
      </c>
      <c r="G33" t="inlineStr">
        <is>
          <t>2076-8</t>
        </is>
      </c>
      <c r="H33" t="inlineStr">
        <is>
          <t>Native Hawaiian or Other Pacific Islander</t>
        </is>
      </c>
      <c r="I33" t="inlineStr">
        <is>
          <t>rollup</t>
        </is>
      </c>
      <c r="J33" t="inlineStr">
        <is>
          <t>Approved</t>
        </is>
      </c>
      <c r="K33" t="inlineStr"/>
      <c r="L33" t="inlineStr"/>
      <c r="M33" t="inlineStr">
        <is>
          <t>SHIE master-demographics survivorship workbook; Table 4/5/2 SQL; Table 5 race groupings → CDCREC OMB</t>
        </is>
      </c>
    </row>
    <row r="34">
      <c r="A34" t="inlineStr">
        <is>
          <t>county_master</t>
        </is>
      </c>
      <c r="B34" t="inlineStr">
        <is>
          <t>Race</t>
        </is>
      </c>
      <c r="C34" t="inlineStr">
        <is>
          <t>Other Race</t>
        </is>
      </c>
      <c r="D34" t="inlineStr">
        <is>
          <t>Other Race</t>
        </is>
      </c>
      <c r="E34" t="inlineStr">
        <is>
          <t>Patient.race</t>
        </is>
      </c>
      <c r="F34" t="inlineStr">
        <is>
          <t>urn:oid:2.16.840.1.113883.6.238</t>
        </is>
      </c>
      <c r="G34" t="inlineStr"/>
      <c r="H34" t="inlineStr"/>
      <c r="I34" t="inlineStr">
        <is>
          <t>exclude</t>
        </is>
      </c>
      <c r="J34" t="inlineStr">
        <is>
          <t>Approved</t>
        </is>
      </c>
      <c r="K34" t="inlineStr"/>
      <c r="L34" t="inlineStr"/>
      <c r="M34" t="inlineStr">
        <is>
          <t>Excluded from county aggregates per Table 5 survivorship</t>
        </is>
      </c>
    </row>
    <row r="35">
      <c r="A35" t="inlineStr">
        <is>
          <t>county_master</t>
        </is>
      </c>
      <c r="B35" t="inlineStr">
        <is>
          <t>Race</t>
        </is>
      </c>
      <c r="C35" t="inlineStr">
        <is>
          <t>Samoan</t>
        </is>
      </c>
      <c r="D35" t="inlineStr">
        <is>
          <t>Samoan</t>
        </is>
      </c>
      <c r="E35" t="inlineStr">
        <is>
          <t>Patient.race</t>
        </is>
      </c>
      <c r="F35" t="inlineStr">
        <is>
          <t>urn:oid:2.16.840.1.113883.6.238</t>
        </is>
      </c>
      <c r="G35" t="inlineStr">
        <is>
          <t>2076-8</t>
        </is>
      </c>
      <c r="H35" t="inlineStr">
        <is>
          <t>Native Hawaiian or Other Pacific Islander</t>
        </is>
      </c>
      <c r="I35" t="inlineStr">
        <is>
          <t>rollup</t>
        </is>
      </c>
      <c r="J35" t="inlineStr">
        <is>
          <t>Approved</t>
        </is>
      </c>
      <c r="K35" t="inlineStr"/>
      <c r="L35" t="inlineStr"/>
      <c r="M35" t="inlineStr">
        <is>
          <t>SHIE master-demographics survivorship workbook; Table 4/5/2 SQL; Table 5 race groupings → CDCREC OMB</t>
        </is>
      </c>
    </row>
    <row r="36">
      <c r="A36" t="inlineStr">
        <is>
          <t>county_master</t>
        </is>
      </c>
      <c r="B36" t="inlineStr">
        <is>
          <t>Race</t>
        </is>
      </c>
      <c r="C36" t="inlineStr">
        <is>
          <t>U</t>
        </is>
      </c>
      <c r="D36" t="inlineStr">
        <is>
          <t>U</t>
        </is>
      </c>
      <c r="E36" t="inlineStr">
        <is>
          <t>Patient.race</t>
        </is>
      </c>
      <c r="F36" t="inlineStr">
        <is>
          <t>urn:oid:2.16.840.1.113883.6.238</t>
        </is>
      </c>
      <c r="G36" t="inlineStr"/>
      <c r="H36" t="inlineStr"/>
      <c r="I36" t="inlineStr">
        <is>
          <t>exclude</t>
        </is>
      </c>
      <c r="J36" t="inlineStr">
        <is>
          <t>Approved</t>
        </is>
      </c>
      <c r="K36" t="inlineStr"/>
      <c r="L36" t="inlineStr"/>
      <c r="M36" t="inlineStr">
        <is>
          <t>Excluded from county aggregates per Table 5 survivorship</t>
        </is>
      </c>
    </row>
    <row r="37">
      <c r="A37" t="inlineStr">
        <is>
          <t>county_master</t>
        </is>
      </c>
      <c r="B37" t="inlineStr">
        <is>
          <t>Race</t>
        </is>
      </c>
      <c r="C37" t="inlineStr">
        <is>
          <t>Unknown</t>
        </is>
      </c>
      <c r="D37" t="inlineStr">
        <is>
          <t>Unknown</t>
        </is>
      </c>
      <c r="E37" t="inlineStr">
        <is>
          <t>Patient.race</t>
        </is>
      </c>
      <c r="F37" t="inlineStr">
        <is>
          <t>urn:oid:2.16.840.1.113883.6.238</t>
        </is>
      </c>
      <c r="G37" t="inlineStr"/>
      <c r="H37" t="inlineStr"/>
      <c r="I37" t="inlineStr">
        <is>
          <t>exclude</t>
        </is>
      </c>
      <c r="J37" t="inlineStr">
        <is>
          <t>Approved</t>
        </is>
      </c>
      <c r="K37" t="inlineStr"/>
      <c r="L37" t="inlineStr"/>
      <c r="M37" t="inlineStr">
        <is>
          <t>Excluded from county aggregates per Table 5 survivorship</t>
        </is>
      </c>
    </row>
    <row r="38">
      <c r="A38" t="inlineStr">
        <is>
          <t>county_master</t>
        </is>
      </c>
      <c r="B38" t="inlineStr">
        <is>
          <t>Race</t>
        </is>
      </c>
      <c r="C38" t="inlineStr">
        <is>
          <t>Unknown/Not Reported</t>
        </is>
      </c>
      <c r="D38" t="inlineStr">
        <is>
          <t>Unknown/Not Reported</t>
        </is>
      </c>
      <c r="E38" t="inlineStr">
        <is>
          <t>Patient.race</t>
        </is>
      </c>
      <c r="F38" t="inlineStr">
        <is>
          <t>urn:oid:2.16.840.1.113883.6.238</t>
        </is>
      </c>
      <c r="G38" t="inlineStr"/>
      <c r="H38" t="inlineStr"/>
      <c r="I38" t="inlineStr">
        <is>
          <t>exclude</t>
        </is>
      </c>
      <c r="J38" t="inlineStr">
        <is>
          <t>Approved</t>
        </is>
      </c>
      <c r="K38" t="inlineStr"/>
      <c r="L38" t="inlineStr"/>
      <c r="M38" t="inlineStr">
        <is>
          <t>Excluded from county aggregates per Table 5 survivorship</t>
        </is>
      </c>
    </row>
    <row r="39">
      <c r="A39" t="inlineStr">
        <is>
          <t>county_master</t>
        </is>
      </c>
      <c r="B39" t="inlineStr">
        <is>
          <t>Race</t>
        </is>
      </c>
      <c r="C39" t="inlineStr">
        <is>
          <t>Unknown/ Not Reported</t>
        </is>
      </c>
      <c r="D39" t="inlineStr">
        <is>
          <t>Unknown/ Not Reported</t>
        </is>
      </c>
      <c r="E39" t="inlineStr">
        <is>
          <t>Patient.race</t>
        </is>
      </c>
      <c r="F39" t="inlineStr">
        <is>
          <t>urn:oid:2.16.840.1.113883.6.238</t>
        </is>
      </c>
      <c r="G39" t="inlineStr"/>
      <c r="H39" t="inlineStr"/>
      <c r="I39" t="inlineStr">
        <is>
          <t>exclude</t>
        </is>
      </c>
      <c r="J39" t="inlineStr">
        <is>
          <t>Approved</t>
        </is>
      </c>
      <c r="K39" t="inlineStr"/>
      <c r="L39" t="inlineStr"/>
      <c r="M39" t="inlineStr">
        <is>
          <t>Excluded from county aggregates per Table 5 survivorship</t>
        </is>
      </c>
    </row>
    <row r="40">
      <c r="A40" t="inlineStr">
        <is>
          <t>county_master</t>
        </is>
      </c>
      <c r="B40" t="inlineStr">
        <is>
          <t>Race</t>
        </is>
      </c>
      <c r="C40" t="inlineStr">
        <is>
          <t>Vietnamese</t>
        </is>
      </c>
      <c r="D40" t="inlineStr">
        <is>
          <t>Vietnamese</t>
        </is>
      </c>
      <c r="E40" t="inlineStr">
        <is>
          <t>Patient.race</t>
        </is>
      </c>
      <c r="F40" t="inlineStr">
        <is>
          <t>urn:oid:2.16.840.1.113883.6.238</t>
        </is>
      </c>
      <c r="G40" t="inlineStr">
        <is>
          <t>2028-9</t>
        </is>
      </c>
      <c r="H40" t="inlineStr">
        <is>
          <t>Asian</t>
        </is>
      </c>
      <c r="I40" t="inlineStr">
        <is>
          <t>rollup</t>
        </is>
      </c>
      <c r="J40" t="inlineStr">
        <is>
          <t>Approved</t>
        </is>
      </c>
      <c r="K40" t="inlineStr"/>
      <c r="L40" t="inlineStr"/>
      <c r="M40" t="inlineStr">
        <is>
          <t>SHIE master-demographics survivorship workbook; Table 4/5/2 SQL; Table 5 race groupings → CDCREC OMB</t>
        </is>
      </c>
    </row>
    <row r="41">
      <c r="A41" t="inlineStr">
        <is>
          <t>county_master</t>
        </is>
      </c>
      <c r="B41" t="inlineStr">
        <is>
          <t>Race</t>
        </is>
      </c>
      <c r="C41" t="inlineStr">
        <is>
          <t>White</t>
        </is>
      </c>
      <c r="D41" t="inlineStr">
        <is>
          <t>White</t>
        </is>
      </c>
      <c r="E41" t="inlineStr">
        <is>
          <t>Patient.race</t>
        </is>
      </c>
      <c r="F41" t="inlineStr">
        <is>
          <t>urn:oid:2.16.840.1.113883.6.238</t>
        </is>
      </c>
      <c r="G41" t="inlineStr">
        <is>
          <t>2106-3</t>
        </is>
      </c>
      <c r="H41" t="inlineStr">
        <is>
          <t>White</t>
        </is>
      </c>
      <c r="I41" t="inlineStr">
        <is>
          <t>rollup</t>
        </is>
      </c>
      <c r="J41" t="inlineStr">
        <is>
          <t>Approved</t>
        </is>
      </c>
      <c r="K41" t="inlineStr"/>
      <c r="L41" t="inlineStr"/>
      <c r="M41" t="inlineStr">
        <is>
          <t>SHIE master-demographics survivorship workbook; Table 4/5/2 SQL; Table 5 race groupings → CDCREC OMB</t>
        </is>
      </c>
    </row>
    <row r="42">
      <c r="A42" t="inlineStr">
        <is>
          <t>county_master</t>
        </is>
      </c>
      <c r="B42" t="inlineStr">
        <is>
          <t>Ethnicity</t>
        </is>
      </c>
      <c r="C42" t="inlineStr">
        <is>
          <t>Cuban</t>
        </is>
      </c>
      <c r="D42" t="inlineStr">
        <is>
          <t>Cuban</t>
        </is>
      </c>
      <c r="E42" t="inlineStr">
        <is>
          <t>Patient.ethnicity</t>
        </is>
      </c>
      <c r="F42" t="inlineStr">
        <is>
          <t>urn:oid:2.16.840.1.113883.6.238</t>
        </is>
      </c>
      <c r="G42" t="inlineStr">
        <is>
          <t>2135-2</t>
        </is>
      </c>
      <c r="H42" t="inlineStr">
        <is>
          <t>Hispanic or Latino</t>
        </is>
      </c>
      <c r="I42" t="inlineStr">
        <is>
          <t>rollup</t>
        </is>
      </c>
      <c r="J42" t="inlineStr">
        <is>
          <t>Approved</t>
        </is>
      </c>
      <c r="K42" t="inlineStr"/>
      <c r="L42" t="inlineStr"/>
      <c r="M42" t="inlineStr">
        <is>
          <t>SHIE master-demographics survivorship workbook; Table 4/5/2 SQL; Table 5 ethnicity groupings → CDCREC OMB</t>
        </is>
      </c>
    </row>
    <row r="43">
      <c r="A43" t="inlineStr">
        <is>
          <t>county_master</t>
        </is>
      </c>
      <c r="B43" t="inlineStr">
        <is>
          <t>Ethnicity</t>
        </is>
      </c>
      <c r="C43" t="inlineStr">
        <is>
          <t>Declined To Specify</t>
        </is>
      </c>
      <c r="D43" t="inlineStr">
        <is>
          <t>Declined To Specify</t>
        </is>
      </c>
      <c r="E43" t="inlineStr">
        <is>
          <t>Patient.ethnicity</t>
        </is>
      </c>
      <c r="F43" t="inlineStr">
        <is>
          <t>urn:oid:2.16.840.1.113883.6.238</t>
        </is>
      </c>
      <c r="G43" t="inlineStr"/>
      <c r="H43" t="inlineStr"/>
      <c r="I43" t="inlineStr">
        <is>
          <t>exclude</t>
        </is>
      </c>
      <c r="J43" t="inlineStr">
        <is>
          <t>Approved</t>
        </is>
      </c>
      <c r="K43" t="inlineStr"/>
      <c r="L43" t="inlineStr"/>
      <c r="M43" t="inlineStr">
        <is>
          <t>Excluded from county aggregates per Table 5 survivorship</t>
        </is>
      </c>
    </row>
    <row r="44">
      <c r="A44" t="inlineStr">
        <is>
          <t>county_master</t>
        </is>
      </c>
      <c r="B44" t="inlineStr">
        <is>
          <t>Ethnicity</t>
        </is>
      </c>
      <c r="C44" t="inlineStr">
        <is>
          <t>Hispanic or Latino</t>
        </is>
      </c>
      <c r="D44" t="inlineStr">
        <is>
          <t>Hispanic or Latino</t>
        </is>
      </c>
      <c r="E44" t="inlineStr">
        <is>
          <t>Patient.ethnicity</t>
        </is>
      </c>
      <c r="F44" t="inlineStr">
        <is>
          <t>urn:oid:2.16.840.1.113883.6.238</t>
        </is>
      </c>
      <c r="G44" t="inlineStr">
        <is>
          <t>2135-2</t>
        </is>
      </c>
      <c r="H44" t="inlineStr">
        <is>
          <t>Hispanic or Latino</t>
        </is>
      </c>
      <c r="I44" t="inlineStr">
        <is>
          <t>rollup</t>
        </is>
      </c>
      <c r="J44" t="inlineStr">
        <is>
          <t>Approved</t>
        </is>
      </c>
      <c r="K44" t="inlineStr"/>
      <c r="L44" t="inlineStr"/>
      <c r="M44" t="inlineStr">
        <is>
          <t>SHIE master-demographics survivorship workbook; Table 4/5/2 SQL; Table 5 ethnicity groupings → CDCREC OMB</t>
        </is>
      </c>
    </row>
    <row r="45">
      <c r="A45" t="inlineStr">
        <is>
          <t>county_master</t>
        </is>
      </c>
      <c r="B45" t="inlineStr">
        <is>
          <t>Ethnicity</t>
        </is>
      </c>
      <c r="C45" t="inlineStr">
        <is>
          <t>Mexican</t>
        </is>
      </c>
      <c r="D45" t="inlineStr">
        <is>
          <t>Mexican</t>
        </is>
      </c>
      <c r="E45" t="inlineStr">
        <is>
          <t>Patient.ethnicity</t>
        </is>
      </c>
      <c r="F45" t="inlineStr">
        <is>
          <t>urn:oid:2.16.840.1.113883.6.238</t>
        </is>
      </c>
      <c r="G45" t="inlineStr">
        <is>
          <t>2135-2</t>
        </is>
      </c>
      <c r="H45" t="inlineStr">
        <is>
          <t>Hispanic or Latino</t>
        </is>
      </c>
      <c r="I45" t="inlineStr">
        <is>
          <t>rollup</t>
        </is>
      </c>
      <c r="J45" t="inlineStr">
        <is>
          <t>Approved</t>
        </is>
      </c>
      <c r="K45" t="inlineStr"/>
      <c r="L45" t="inlineStr"/>
      <c r="M45" t="inlineStr">
        <is>
          <t>SHIE master-demographics survivorship workbook; Table 4/5/2 SQL; Table 5 ethnicity groupings → CDCREC OMB</t>
        </is>
      </c>
    </row>
    <row r="46">
      <c r="A46" t="inlineStr">
        <is>
          <t>county_master</t>
        </is>
      </c>
      <c r="B46" t="inlineStr">
        <is>
          <t>Ethnicity</t>
        </is>
      </c>
      <c r="C46" t="inlineStr">
        <is>
          <t>Mexicano</t>
        </is>
      </c>
      <c r="D46" t="inlineStr">
        <is>
          <t>Mexicano</t>
        </is>
      </c>
      <c r="E46" t="inlineStr">
        <is>
          <t>Patient.ethnicity</t>
        </is>
      </c>
      <c r="F46" t="inlineStr">
        <is>
          <t>urn:oid:2.16.840.1.113883.6.238</t>
        </is>
      </c>
      <c r="G46" t="inlineStr">
        <is>
          <t>2135-2</t>
        </is>
      </c>
      <c r="H46" t="inlineStr">
        <is>
          <t>Hispanic or Latino</t>
        </is>
      </c>
      <c r="I46" t="inlineStr">
        <is>
          <t>rollup</t>
        </is>
      </c>
      <c r="J46" t="inlineStr">
        <is>
          <t>Approved</t>
        </is>
      </c>
      <c r="K46" t="inlineStr"/>
      <c r="L46" t="inlineStr"/>
      <c r="M46" t="inlineStr">
        <is>
          <t>SHIE master-demographics survivorship workbook; Table 4/5/2 SQL; Table 5 ethnicity groupings → CDCREC OMB</t>
        </is>
      </c>
    </row>
    <row r="47">
      <c r="A47" t="inlineStr">
        <is>
          <t>county_master</t>
        </is>
      </c>
      <c r="B47" t="inlineStr">
        <is>
          <t>Ethnicity</t>
        </is>
      </c>
      <c r="C47" t="inlineStr">
        <is>
          <t>MU Unknown Do Not Use</t>
        </is>
      </c>
      <c r="D47" t="inlineStr">
        <is>
          <t>MU Unknown Do Not Use</t>
        </is>
      </c>
      <c r="E47" t="inlineStr">
        <is>
          <t>Patient.ethnicity</t>
        </is>
      </c>
      <c r="F47" t="inlineStr">
        <is>
          <t>urn:oid:2.16.840.1.113883.6.238</t>
        </is>
      </c>
      <c r="G47" t="inlineStr"/>
      <c r="H47" t="inlineStr"/>
      <c r="I47" t="inlineStr">
        <is>
          <t>exclude</t>
        </is>
      </c>
      <c r="J47" t="inlineStr">
        <is>
          <t>Approved</t>
        </is>
      </c>
      <c r="K47" t="inlineStr"/>
      <c r="L47" t="inlineStr"/>
      <c r="M47" t="inlineStr">
        <is>
          <t>Excluded from county aggregates per Table 5 survivorship</t>
        </is>
      </c>
    </row>
    <row r="48">
      <c r="A48" t="inlineStr">
        <is>
          <t>county_master</t>
        </is>
      </c>
      <c r="B48" t="inlineStr">
        <is>
          <t>Ethnicity</t>
        </is>
      </c>
      <c r="C48" t="inlineStr">
        <is>
          <t>NOT HISPANIC</t>
        </is>
      </c>
      <c r="D48" t="inlineStr">
        <is>
          <t>NOT HISPANIC</t>
        </is>
      </c>
      <c r="E48" t="inlineStr">
        <is>
          <t>Patient.ethnicity</t>
        </is>
      </c>
      <c r="F48" t="inlineStr">
        <is>
          <t>urn:oid:2.16.840.1.113883.6.238</t>
        </is>
      </c>
      <c r="G48" t="inlineStr">
        <is>
          <t>2186-5</t>
        </is>
      </c>
      <c r="H48" t="inlineStr">
        <is>
          <t>Not Hispanic or Latino</t>
        </is>
      </c>
      <c r="I48" t="inlineStr">
        <is>
          <t>rollup</t>
        </is>
      </c>
      <c r="J48" t="inlineStr">
        <is>
          <t>Approved</t>
        </is>
      </c>
      <c r="K48" t="inlineStr"/>
      <c r="L48" t="inlineStr"/>
      <c r="M48" t="inlineStr">
        <is>
          <t>SHIE master-demographics survivorship workbook; Table 4/5/2 SQL; Table 5 ethnicity groupings → CDCREC OMB</t>
        </is>
      </c>
    </row>
    <row r="49">
      <c r="A49" t="inlineStr">
        <is>
          <t>county_master</t>
        </is>
      </c>
      <c r="B49" t="inlineStr">
        <is>
          <t>Ethnicity</t>
        </is>
      </c>
      <c r="C49" t="inlineStr">
        <is>
          <t>Not Hispanic</t>
        </is>
      </c>
      <c r="D49" t="inlineStr">
        <is>
          <t>Not Hispanic</t>
        </is>
      </c>
      <c r="E49" t="inlineStr">
        <is>
          <t>Patient.ethnicity</t>
        </is>
      </c>
      <c r="F49" t="inlineStr">
        <is>
          <t>urn:oid:2.16.840.1.113883.6.238</t>
        </is>
      </c>
      <c r="G49" t="inlineStr">
        <is>
          <t>2186-5</t>
        </is>
      </c>
      <c r="H49" t="inlineStr">
        <is>
          <t>Not Hispanic or Latino</t>
        </is>
      </c>
      <c r="I49" t="inlineStr">
        <is>
          <t>rollup</t>
        </is>
      </c>
      <c r="J49" t="inlineStr">
        <is>
          <t>Approved</t>
        </is>
      </c>
      <c r="K49" t="inlineStr"/>
      <c r="L49" t="inlineStr"/>
      <c r="M49" t="inlineStr">
        <is>
          <t>SHIE master-demographics survivorship workbook; Table 4/5/2 SQL; Table 5 ethnicity groupings → CDCREC OMB</t>
        </is>
      </c>
    </row>
    <row r="50">
      <c r="A50" t="inlineStr">
        <is>
          <t>county_master</t>
        </is>
      </c>
      <c r="B50" t="inlineStr">
        <is>
          <t>Ethnicity</t>
        </is>
      </c>
      <c r="C50" t="inlineStr">
        <is>
          <t>Not Hispanic or Latino</t>
        </is>
      </c>
      <c r="D50" t="inlineStr">
        <is>
          <t>Not Hispanic or Latino</t>
        </is>
      </c>
      <c r="E50" t="inlineStr">
        <is>
          <t>Patient.ethnicity</t>
        </is>
      </c>
      <c r="F50" t="inlineStr">
        <is>
          <t>urn:oid:2.16.840.1.113883.6.238</t>
        </is>
      </c>
      <c r="G50" t="inlineStr">
        <is>
          <t>2186-5</t>
        </is>
      </c>
      <c r="H50" t="inlineStr">
        <is>
          <t>Not Hispanic or Latino</t>
        </is>
      </c>
      <c r="I50" t="inlineStr">
        <is>
          <t>rollup</t>
        </is>
      </c>
      <c r="J50" t="inlineStr">
        <is>
          <t>Approved</t>
        </is>
      </c>
      <c r="K50" t="inlineStr"/>
      <c r="L50" t="inlineStr"/>
      <c r="M50" t="inlineStr">
        <is>
          <t>SHIE master-demographics survivorship workbook; Table 4/5/2 SQL; Table 5 ethnicity groupings → CDCREC OMB</t>
        </is>
      </c>
    </row>
    <row r="51">
      <c r="A51" t="inlineStr">
        <is>
          <t>county_master</t>
        </is>
      </c>
      <c r="B51" t="inlineStr">
        <is>
          <t>Ethnicity</t>
        </is>
      </c>
      <c r="C51" t="inlineStr">
        <is>
          <t>Patient Refused</t>
        </is>
      </c>
      <c r="D51" t="inlineStr">
        <is>
          <t>Patient Refused</t>
        </is>
      </c>
      <c r="E51" t="inlineStr">
        <is>
          <t>Patient.ethnicity</t>
        </is>
      </c>
      <c r="F51" t="inlineStr">
        <is>
          <t>urn:oid:2.16.840.1.113883.6.238</t>
        </is>
      </c>
      <c r="G51" t="inlineStr"/>
      <c r="H51" t="inlineStr"/>
      <c r="I51" t="inlineStr">
        <is>
          <t>exclude</t>
        </is>
      </c>
      <c r="J51" t="inlineStr">
        <is>
          <t>Approved</t>
        </is>
      </c>
      <c r="K51" t="inlineStr"/>
      <c r="L51" t="inlineStr"/>
      <c r="M51" t="inlineStr">
        <is>
          <t>Excluded from county aggregates per Table 5 survivorship</t>
        </is>
      </c>
    </row>
    <row r="52">
      <c r="A52" t="inlineStr">
        <is>
          <t>county_master</t>
        </is>
      </c>
      <c r="B52" t="inlineStr">
        <is>
          <t>Ethnicity</t>
        </is>
      </c>
      <c r="C52" t="inlineStr">
        <is>
          <t>Puerto Rican</t>
        </is>
      </c>
      <c r="D52" t="inlineStr">
        <is>
          <t>Puerto Rican</t>
        </is>
      </c>
      <c r="E52" t="inlineStr">
        <is>
          <t>Patient.ethnicity</t>
        </is>
      </c>
      <c r="F52" t="inlineStr">
        <is>
          <t>urn:oid:2.16.840.1.113883.6.238</t>
        </is>
      </c>
      <c r="G52" t="inlineStr">
        <is>
          <t>2135-2</t>
        </is>
      </c>
      <c r="H52" t="inlineStr">
        <is>
          <t>Hispanic or Latino</t>
        </is>
      </c>
      <c r="I52" t="inlineStr">
        <is>
          <t>rollup</t>
        </is>
      </c>
      <c r="J52" t="inlineStr">
        <is>
          <t>Approved</t>
        </is>
      </c>
      <c r="K52" t="inlineStr"/>
      <c r="L52" t="inlineStr"/>
      <c r="M52" t="inlineStr">
        <is>
          <t>SHIE master-demographics survivorship workbook; Table 4/5/2 SQL; Table 5 ethnicity groupings → CDCREC OMB</t>
        </is>
      </c>
    </row>
    <row r="53">
      <c r="A53" t="inlineStr">
        <is>
          <t>county_master</t>
        </is>
      </c>
      <c r="B53" t="inlineStr">
        <is>
          <t>Ethnicity</t>
        </is>
      </c>
      <c r="C53" t="inlineStr">
        <is>
          <t>Unk/Decline</t>
        </is>
      </c>
      <c r="D53" t="inlineStr">
        <is>
          <t>Unk/Decline</t>
        </is>
      </c>
      <c r="E53" t="inlineStr">
        <is>
          <t>Patient.ethnicity</t>
        </is>
      </c>
      <c r="F53" t="inlineStr">
        <is>
          <t>urn:oid:2.16.840.1.113883.6.238</t>
        </is>
      </c>
      <c r="G53" t="inlineStr"/>
      <c r="H53" t="inlineStr"/>
      <c r="I53" t="inlineStr">
        <is>
          <t>exclude</t>
        </is>
      </c>
      <c r="J53" t="inlineStr">
        <is>
          <t>Approved</t>
        </is>
      </c>
      <c r="K53" t="inlineStr"/>
      <c r="L53" t="inlineStr"/>
      <c r="M53" t="inlineStr">
        <is>
          <t>Excluded from county aggregates per Table 5 survivorship</t>
        </is>
      </c>
    </row>
    <row r="54">
      <c r="A54" t="inlineStr">
        <is>
          <t>county_master</t>
        </is>
      </c>
      <c r="B54" t="inlineStr">
        <is>
          <t>Ethnicity</t>
        </is>
      </c>
      <c r="C54" t="inlineStr">
        <is>
          <t>Unknown</t>
        </is>
      </c>
      <c r="D54" t="inlineStr">
        <is>
          <t>Unknown</t>
        </is>
      </c>
      <c r="E54" t="inlineStr">
        <is>
          <t>Patient.ethnicity</t>
        </is>
      </c>
      <c r="F54" t="inlineStr">
        <is>
          <t>urn:oid:2.16.840.1.113883.6.238</t>
        </is>
      </c>
      <c r="G54" t="inlineStr"/>
      <c r="H54" t="inlineStr"/>
      <c r="I54" t="inlineStr">
        <is>
          <t>exclude</t>
        </is>
      </c>
      <c r="J54" t="inlineStr">
        <is>
          <t>Approved</t>
        </is>
      </c>
      <c r="K54" t="inlineStr"/>
      <c r="L54" t="inlineStr"/>
      <c r="M54" t="inlineStr">
        <is>
          <t>Excluded from county aggregates per Table 5 survivorship</t>
        </is>
      </c>
    </row>
    <row r="55">
      <c r="A55" t="inlineStr">
        <is>
          <t>county_master</t>
        </is>
      </c>
      <c r="B55" t="inlineStr">
        <is>
          <t>Language</t>
        </is>
      </c>
      <c r="C55" t="inlineStr">
        <is>
          <t>Achinese</t>
        </is>
      </c>
      <c r="D55" t="inlineStr">
        <is>
          <t>Achinese</t>
        </is>
      </c>
      <c r="E55" t="inlineStr">
        <is>
          <t>Patient.language</t>
        </is>
      </c>
      <c r="F55" t="inlineStr">
        <is>
          <t>urn:ietf:bcp:47</t>
        </is>
      </c>
      <c r="G55" t="inlineStr">
        <is>
          <t>ace</t>
        </is>
      </c>
      <c r="H55" t="inlineStr">
        <is>
          <t>Achinese</t>
        </is>
      </c>
      <c r="I55" t="inlineStr">
        <is>
          <t>exact</t>
        </is>
      </c>
      <c r="J55" t="inlineStr">
        <is>
          <t>Approved</t>
        </is>
      </c>
      <c r="K55" t="inlineStr"/>
      <c r="L55" t="inlineStr"/>
      <c r="M55" t="inlineStr">
        <is>
          <t>SHIE master-demographics survivorship workbook; Table 4/5/2 SQL; Table 4 language detail → BCP 47</t>
        </is>
      </c>
    </row>
    <row r="56">
      <c r="A56" t="inlineStr">
        <is>
          <t>county_master</t>
        </is>
      </c>
      <c r="B56" t="inlineStr">
        <is>
          <t>Language</t>
        </is>
      </c>
      <c r="C56" t="inlineStr">
        <is>
          <t>Abkhazian</t>
        </is>
      </c>
      <c r="D56" t="inlineStr">
        <is>
          <t>Abkhazian</t>
        </is>
      </c>
      <c r="E56" t="inlineStr">
        <is>
          <t>Patient.language</t>
        </is>
      </c>
      <c r="F56" t="inlineStr">
        <is>
          <t>urn:ietf:bcp:47</t>
        </is>
      </c>
      <c r="G56" t="inlineStr">
        <is>
          <t>ab</t>
        </is>
      </c>
      <c r="H56" t="inlineStr">
        <is>
          <t>Abkhazian</t>
        </is>
      </c>
      <c r="I56" t="inlineStr">
        <is>
          <t>exact</t>
        </is>
      </c>
      <c r="J56" t="inlineStr">
        <is>
          <t>Approved</t>
        </is>
      </c>
      <c r="K56" t="inlineStr"/>
      <c r="L56" t="inlineStr"/>
      <c r="M56" t="inlineStr">
        <is>
          <t>SHIE master-demographics survivorship workbook; Table 4/5/2 SQL; Table 4 language detail → BCP 47</t>
        </is>
      </c>
    </row>
    <row r="57">
      <c r="A57" t="inlineStr">
        <is>
          <t>county_master</t>
        </is>
      </c>
      <c r="B57" t="inlineStr">
        <is>
          <t>Language</t>
        </is>
      </c>
      <c r="C57" t="inlineStr">
        <is>
          <t>Afrikaans</t>
        </is>
      </c>
      <c r="D57" t="inlineStr">
        <is>
          <t>Afrikaans</t>
        </is>
      </c>
      <c r="E57" t="inlineStr">
        <is>
          <t>Patient.language</t>
        </is>
      </c>
      <c r="F57" t="inlineStr">
        <is>
          <t>urn:ietf:bcp:47</t>
        </is>
      </c>
      <c r="G57" t="inlineStr">
        <is>
          <t>af</t>
        </is>
      </c>
      <c r="H57" t="inlineStr">
        <is>
          <t>Afrikaans</t>
        </is>
      </c>
      <c r="I57" t="inlineStr">
        <is>
          <t>exact</t>
        </is>
      </c>
      <c r="J57" t="inlineStr">
        <is>
          <t>Approved</t>
        </is>
      </c>
      <c r="K57" t="inlineStr"/>
      <c r="L57" t="inlineStr"/>
      <c r="M57" t="inlineStr">
        <is>
          <t>SHIE master-demographics survivorship workbook; Table 4/5/2 SQL; Table 4 language detail → BCP 47</t>
        </is>
      </c>
    </row>
    <row r="58">
      <c r="A58" t="inlineStr">
        <is>
          <t>county_master</t>
        </is>
      </c>
      <c r="B58" t="inlineStr">
        <is>
          <t>Language</t>
        </is>
      </c>
      <c r="C58" t="inlineStr">
        <is>
          <t>Albanian</t>
        </is>
      </c>
      <c r="D58" t="inlineStr">
        <is>
          <t>Albanian</t>
        </is>
      </c>
      <c r="E58" t="inlineStr">
        <is>
          <t>Patient.language</t>
        </is>
      </c>
      <c r="F58" t="inlineStr">
        <is>
          <t>urn:ietf:bcp:47</t>
        </is>
      </c>
      <c r="G58" t="inlineStr">
        <is>
          <t>sq</t>
        </is>
      </c>
      <c r="H58" t="inlineStr">
        <is>
          <t>Albanian</t>
        </is>
      </c>
      <c r="I58" t="inlineStr">
        <is>
          <t>exact</t>
        </is>
      </c>
      <c r="J58" t="inlineStr">
        <is>
          <t>Approved</t>
        </is>
      </c>
      <c r="K58" t="inlineStr"/>
      <c r="L58" t="inlineStr"/>
      <c r="M58" t="inlineStr">
        <is>
          <t>SHIE master-demographics survivorship workbook; Table 4/5/2 SQL; Table 4 language detail → BCP 47</t>
        </is>
      </c>
    </row>
    <row r="59">
      <c r="A59" t="inlineStr">
        <is>
          <t>county_master</t>
        </is>
      </c>
      <c r="B59" t="inlineStr">
        <is>
          <t>Language</t>
        </is>
      </c>
      <c r="C59" t="inlineStr">
        <is>
          <t>Amharic</t>
        </is>
      </c>
      <c r="D59" t="inlineStr">
        <is>
          <t>Amharic</t>
        </is>
      </c>
      <c r="E59" t="inlineStr">
        <is>
          <t>Patient.language</t>
        </is>
      </c>
      <c r="F59" t="inlineStr">
        <is>
          <t>urn:ietf:bcp:47</t>
        </is>
      </c>
      <c r="G59" t="inlineStr">
        <is>
          <t>am</t>
        </is>
      </c>
      <c r="H59" t="inlineStr">
        <is>
          <t>Amharic</t>
        </is>
      </c>
      <c r="I59" t="inlineStr">
        <is>
          <t>exact</t>
        </is>
      </c>
      <c r="J59" t="inlineStr">
        <is>
          <t>Approved</t>
        </is>
      </c>
      <c r="K59" t="inlineStr"/>
      <c r="L59" t="inlineStr"/>
      <c r="M59" t="inlineStr">
        <is>
          <t>SHIE master-demographics survivorship workbook; Table 4/5/2 SQL; Table 4 language detail → BCP 47</t>
        </is>
      </c>
    </row>
    <row r="60">
      <c r="A60" t="inlineStr">
        <is>
          <t>county_master</t>
        </is>
      </c>
      <c r="B60" t="inlineStr">
        <is>
          <t>Language</t>
        </is>
      </c>
      <c r="C60" t="inlineStr">
        <is>
          <t>Arabic</t>
        </is>
      </c>
      <c r="D60" t="inlineStr">
        <is>
          <t>Arabic</t>
        </is>
      </c>
      <c r="E60" t="inlineStr">
        <is>
          <t>Patient.language</t>
        </is>
      </c>
      <c r="F60" t="inlineStr">
        <is>
          <t>urn:ietf:bcp:47</t>
        </is>
      </c>
      <c r="G60" t="inlineStr">
        <is>
          <t>ar</t>
        </is>
      </c>
      <c r="H60" t="inlineStr">
        <is>
          <t>Arabic</t>
        </is>
      </c>
      <c r="I60" t="inlineStr">
        <is>
          <t>exact</t>
        </is>
      </c>
      <c r="J60" t="inlineStr">
        <is>
          <t>Approved</t>
        </is>
      </c>
      <c r="K60" t="inlineStr"/>
      <c r="L60" t="inlineStr"/>
      <c r="M60" t="inlineStr">
        <is>
          <t>SHIE master-demographics survivorship workbook; Table 4/5/2 SQL; Table 4 language detail → BCP 47</t>
        </is>
      </c>
    </row>
    <row r="61">
      <c r="A61" t="inlineStr">
        <is>
          <t>county_master</t>
        </is>
      </c>
      <c r="B61" t="inlineStr">
        <is>
          <t>Language</t>
        </is>
      </c>
      <c r="C61" t="inlineStr">
        <is>
          <t>ara</t>
        </is>
      </c>
      <c r="D61" t="inlineStr">
        <is>
          <t>Arabic</t>
        </is>
      </c>
      <c r="E61" t="inlineStr">
        <is>
          <t>Patient.language</t>
        </is>
      </c>
      <c r="F61" t="inlineStr">
        <is>
          <t>urn:ietf:bcp:47</t>
        </is>
      </c>
      <c r="G61" t="inlineStr">
        <is>
          <t>ar</t>
        </is>
      </c>
      <c r="H61" t="inlineStr">
        <is>
          <t>Arabic</t>
        </is>
      </c>
      <c r="I61" t="inlineStr">
        <is>
          <t>exact</t>
        </is>
      </c>
      <c r="J61" t="inlineStr">
        <is>
          <t>Approved</t>
        </is>
      </c>
      <c r="K61" t="inlineStr"/>
      <c r="L61" t="inlineStr"/>
      <c r="M61" t="inlineStr">
        <is>
          <t>SHIE master-demographics survivorship workbook; Table 4/5/2 SQL; Table 4 language detail → BCP 47</t>
        </is>
      </c>
    </row>
    <row r="62">
      <c r="A62" t="inlineStr">
        <is>
          <t>county_master</t>
        </is>
      </c>
      <c r="B62" t="inlineStr">
        <is>
          <t>Language</t>
        </is>
      </c>
      <c r="C62" t="inlineStr">
        <is>
          <t>Armenian</t>
        </is>
      </c>
      <c r="D62" t="inlineStr">
        <is>
          <t>Armenian</t>
        </is>
      </c>
      <c r="E62" t="inlineStr">
        <is>
          <t>Patient.language</t>
        </is>
      </c>
      <c r="F62" t="inlineStr">
        <is>
          <t>urn:ietf:bcp:47</t>
        </is>
      </c>
      <c r="G62" t="inlineStr">
        <is>
          <t>hy</t>
        </is>
      </c>
      <c r="H62" t="inlineStr">
        <is>
          <t>Armenian</t>
        </is>
      </c>
      <c r="I62" t="inlineStr">
        <is>
          <t>exact</t>
        </is>
      </c>
      <c r="J62" t="inlineStr">
        <is>
          <t>Approved</t>
        </is>
      </c>
      <c r="K62" t="inlineStr"/>
      <c r="L62" t="inlineStr"/>
      <c r="M62" t="inlineStr">
        <is>
          <t>SHIE master-demographics survivorship workbook; Table 4/5/2 SQL; Table 4 language detail → BCP 47</t>
        </is>
      </c>
    </row>
    <row r="63">
      <c r="A63" t="inlineStr">
        <is>
          <t>county_master</t>
        </is>
      </c>
      <c r="B63" t="inlineStr">
        <is>
          <t>Language</t>
        </is>
      </c>
      <c r="C63" t="inlineStr">
        <is>
          <t>ASL</t>
        </is>
      </c>
      <c r="D63" t="inlineStr">
        <is>
          <t>Sign language</t>
        </is>
      </c>
      <c r="E63" t="inlineStr">
        <is>
          <t>Patient.language</t>
        </is>
      </c>
      <c r="F63" t="inlineStr">
        <is>
          <t>urn:ietf:bcp:47</t>
        </is>
      </c>
      <c r="G63" t="inlineStr">
        <is>
          <t>ase</t>
        </is>
      </c>
      <c r="H63" t="inlineStr">
        <is>
          <t>Sign language</t>
        </is>
      </c>
      <c r="I63" t="inlineStr">
        <is>
          <t>exact</t>
        </is>
      </c>
      <c r="J63" t="inlineStr">
        <is>
          <t>Approved</t>
        </is>
      </c>
      <c r="K63" t="inlineStr"/>
      <c r="L63" t="inlineStr"/>
      <c r="M63" t="inlineStr">
        <is>
          <t>SHIE master-demographics survivorship workbook; Table 4/5/2 SQL; Table 4 language detail → BCP 47</t>
        </is>
      </c>
    </row>
    <row r="64">
      <c r="A64" t="inlineStr">
        <is>
          <t>county_master</t>
        </is>
      </c>
      <c r="B64" t="inlineStr">
        <is>
          <t>Language</t>
        </is>
      </c>
      <c r="C64" t="inlineStr">
        <is>
          <t>Basque</t>
        </is>
      </c>
      <c r="D64" t="inlineStr">
        <is>
          <t>Basque</t>
        </is>
      </c>
      <c r="E64" t="inlineStr">
        <is>
          <t>Patient.language</t>
        </is>
      </c>
      <c r="F64" t="inlineStr">
        <is>
          <t>urn:ietf:bcp:47</t>
        </is>
      </c>
      <c r="G64" t="inlineStr">
        <is>
          <t>eu</t>
        </is>
      </c>
      <c r="H64" t="inlineStr">
        <is>
          <t>Basque</t>
        </is>
      </c>
      <c r="I64" t="inlineStr">
        <is>
          <t>exact</t>
        </is>
      </c>
      <c r="J64" t="inlineStr">
        <is>
          <t>Approved</t>
        </is>
      </c>
      <c r="K64" t="inlineStr"/>
      <c r="L64" t="inlineStr"/>
      <c r="M64" t="inlineStr">
        <is>
          <t>SHIE master-demographics survivorship workbook; Table 4/5/2 SQL; Table 4 language detail → BCP 47</t>
        </is>
      </c>
    </row>
    <row r="65">
      <c r="A65" t="inlineStr">
        <is>
          <t>county_master</t>
        </is>
      </c>
      <c r="B65" t="inlineStr">
        <is>
          <t>Language</t>
        </is>
      </c>
      <c r="C65" t="inlineStr">
        <is>
          <t>Bengali</t>
        </is>
      </c>
      <c r="D65" t="inlineStr">
        <is>
          <t>Bengali</t>
        </is>
      </c>
      <c r="E65" t="inlineStr">
        <is>
          <t>Patient.language</t>
        </is>
      </c>
      <c r="F65" t="inlineStr">
        <is>
          <t>urn:ietf:bcp:47</t>
        </is>
      </c>
      <c r="G65" t="inlineStr">
        <is>
          <t>bn</t>
        </is>
      </c>
      <c r="H65" t="inlineStr">
        <is>
          <t>Bengali</t>
        </is>
      </c>
      <c r="I65" t="inlineStr">
        <is>
          <t>exact</t>
        </is>
      </c>
      <c r="J65" t="inlineStr">
        <is>
          <t>Approved</t>
        </is>
      </c>
      <c r="K65" t="inlineStr"/>
      <c r="L65" t="inlineStr"/>
      <c r="M65" t="inlineStr">
        <is>
          <t>SHIE master-demographics survivorship workbook; Table 4/5/2 SQL; Table 4 language detail → BCP 47</t>
        </is>
      </c>
    </row>
    <row r="66">
      <c r="A66" t="inlineStr">
        <is>
          <t>county_master</t>
        </is>
      </c>
      <c r="B66" t="inlineStr">
        <is>
          <t>Language</t>
        </is>
      </c>
      <c r="C66" t="inlineStr">
        <is>
          <t>Berber (Other)</t>
        </is>
      </c>
      <c r="D66" t="inlineStr">
        <is>
          <t>Berber</t>
        </is>
      </c>
      <c r="E66" t="inlineStr">
        <is>
          <t>Patient.language</t>
        </is>
      </c>
      <c r="F66" t="inlineStr">
        <is>
          <t>urn:ietf:bcp:47</t>
        </is>
      </c>
      <c r="G66" t="inlineStr">
        <is>
          <t>ber</t>
        </is>
      </c>
      <c r="H66" t="inlineStr">
        <is>
          <t>Berber</t>
        </is>
      </c>
      <c r="I66" t="inlineStr">
        <is>
          <t>exact</t>
        </is>
      </c>
      <c r="J66" t="inlineStr">
        <is>
          <t>Approved</t>
        </is>
      </c>
      <c r="K66" t="inlineStr"/>
      <c r="L66" t="inlineStr"/>
      <c r="M66" t="inlineStr">
        <is>
          <t>SHIE master-demographics survivorship workbook; Table 4/5/2 SQL; Table 4 language detail → BCP 47</t>
        </is>
      </c>
    </row>
    <row r="67">
      <c r="A67" t="inlineStr">
        <is>
          <t>county_master</t>
        </is>
      </c>
      <c r="B67" t="inlineStr">
        <is>
          <t>Language</t>
        </is>
      </c>
      <c r="C67" t="inlineStr">
        <is>
          <t>Bosnian</t>
        </is>
      </c>
      <c r="D67" t="inlineStr">
        <is>
          <t>Bosnian</t>
        </is>
      </c>
      <c r="E67" t="inlineStr">
        <is>
          <t>Patient.language</t>
        </is>
      </c>
      <c r="F67" t="inlineStr">
        <is>
          <t>urn:ietf:bcp:47</t>
        </is>
      </c>
      <c r="G67" t="inlineStr">
        <is>
          <t>bs</t>
        </is>
      </c>
      <c r="H67" t="inlineStr">
        <is>
          <t>Bosnian</t>
        </is>
      </c>
      <c r="I67" t="inlineStr">
        <is>
          <t>exact</t>
        </is>
      </c>
      <c r="J67" t="inlineStr">
        <is>
          <t>Approved</t>
        </is>
      </c>
      <c r="K67" t="inlineStr"/>
      <c r="L67" t="inlineStr"/>
      <c r="M67" t="inlineStr">
        <is>
          <t>SHIE master-demographics survivorship workbook; Table 4/5/2 SQL; Table 4 language detail → BCP 47</t>
        </is>
      </c>
    </row>
    <row r="68">
      <c r="A68" t="inlineStr">
        <is>
          <t>county_master</t>
        </is>
      </c>
      <c r="B68" t="inlineStr">
        <is>
          <t>Language</t>
        </is>
      </c>
      <c r="C68" t="inlineStr">
        <is>
          <t>Bulgarian</t>
        </is>
      </c>
      <c r="D68" t="inlineStr">
        <is>
          <t>Bulgarian</t>
        </is>
      </c>
      <c r="E68" t="inlineStr">
        <is>
          <t>Patient.language</t>
        </is>
      </c>
      <c r="F68" t="inlineStr">
        <is>
          <t>urn:ietf:bcp:47</t>
        </is>
      </c>
      <c r="G68" t="inlineStr">
        <is>
          <t>bg</t>
        </is>
      </c>
      <c r="H68" t="inlineStr">
        <is>
          <t>Bulgarian</t>
        </is>
      </c>
      <c r="I68" t="inlineStr">
        <is>
          <t>exact</t>
        </is>
      </c>
      <c r="J68" t="inlineStr">
        <is>
          <t>Approved</t>
        </is>
      </c>
      <c r="K68" t="inlineStr"/>
      <c r="L68" t="inlineStr"/>
      <c r="M68" t="inlineStr">
        <is>
          <t>SHIE master-demographics survivorship workbook; Table 4/5/2 SQL; Table 4 language detail → BCP 47</t>
        </is>
      </c>
    </row>
    <row r="69">
      <c r="A69" t="inlineStr">
        <is>
          <t>county_master</t>
        </is>
      </c>
      <c r="B69" t="inlineStr">
        <is>
          <t>Language</t>
        </is>
      </c>
      <c r="C69" t="inlineStr">
        <is>
          <t>Burmese</t>
        </is>
      </c>
      <c r="D69" t="inlineStr">
        <is>
          <t>Burmese</t>
        </is>
      </c>
      <c r="E69" t="inlineStr">
        <is>
          <t>Patient.language</t>
        </is>
      </c>
      <c r="F69" t="inlineStr">
        <is>
          <t>urn:ietf:bcp:47</t>
        </is>
      </c>
      <c r="G69" t="inlineStr">
        <is>
          <t>my</t>
        </is>
      </c>
      <c r="H69" t="inlineStr">
        <is>
          <t>Burmese</t>
        </is>
      </c>
      <c r="I69" t="inlineStr">
        <is>
          <t>exact</t>
        </is>
      </c>
      <c r="J69" t="inlineStr">
        <is>
          <t>Approved</t>
        </is>
      </c>
      <c r="K69" t="inlineStr"/>
      <c r="L69" t="inlineStr"/>
      <c r="M69" t="inlineStr">
        <is>
          <t>SHIE master-demographics survivorship workbook; Table 4/5/2 SQL; Table 4 language detail → BCP 47</t>
        </is>
      </c>
    </row>
    <row r="70">
      <c r="A70" t="inlineStr">
        <is>
          <t>county_master</t>
        </is>
      </c>
      <c r="B70" t="inlineStr">
        <is>
          <t>Language</t>
        </is>
      </c>
      <c r="C70" t="inlineStr">
        <is>
          <t>mya</t>
        </is>
      </c>
      <c r="D70" t="inlineStr">
        <is>
          <t>Burmese</t>
        </is>
      </c>
      <c r="E70" t="inlineStr">
        <is>
          <t>Patient.language</t>
        </is>
      </c>
      <c r="F70" t="inlineStr">
        <is>
          <t>urn:ietf:bcp:47</t>
        </is>
      </c>
      <c r="G70" t="inlineStr">
        <is>
          <t>my</t>
        </is>
      </c>
      <c r="H70" t="inlineStr">
        <is>
          <t>Burmese</t>
        </is>
      </c>
      <c r="I70" t="inlineStr">
        <is>
          <t>exact</t>
        </is>
      </c>
      <c r="J70" t="inlineStr">
        <is>
          <t>Approved</t>
        </is>
      </c>
      <c r="K70" t="inlineStr"/>
      <c r="L70" t="inlineStr"/>
      <c r="M70" t="inlineStr">
        <is>
          <t>SHIE master-demographics survivorship workbook; Table 4/5/2 SQL; Table 4 language detail → BCP 47</t>
        </is>
      </c>
    </row>
    <row r="71">
      <c r="A71" t="inlineStr">
        <is>
          <t>county_master</t>
        </is>
      </c>
      <c r="B71" t="inlineStr">
        <is>
          <t>Language</t>
        </is>
      </c>
      <c r="C71" t="inlineStr">
        <is>
          <t>Cambodian</t>
        </is>
      </c>
      <c r="D71" t="inlineStr">
        <is>
          <t>Cambodian</t>
        </is>
      </c>
      <c r="E71" t="inlineStr">
        <is>
          <t>Patient.language</t>
        </is>
      </c>
      <c r="F71" t="inlineStr">
        <is>
          <t>urn:ietf:bcp:47</t>
        </is>
      </c>
      <c r="G71" t="inlineStr">
        <is>
          <t>km</t>
        </is>
      </c>
      <c r="H71" t="inlineStr">
        <is>
          <t>Cambodian</t>
        </is>
      </c>
      <c r="I71" t="inlineStr">
        <is>
          <t>exact</t>
        </is>
      </c>
      <c r="J71" t="inlineStr">
        <is>
          <t>Approved</t>
        </is>
      </c>
      <c r="K71" t="inlineStr"/>
      <c r="L71" t="inlineStr"/>
      <c r="M71" t="inlineStr">
        <is>
          <t>SHIE master-demographics survivorship workbook; Table 4/5/2 SQL; Table 4 language detail → BCP 47</t>
        </is>
      </c>
    </row>
    <row r="72">
      <c r="A72" t="inlineStr">
        <is>
          <t>county_master</t>
        </is>
      </c>
      <c r="B72" t="inlineStr">
        <is>
          <t>Language</t>
        </is>
      </c>
      <c r="C72" t="inlineStr">
        <is>
          <t>CAM</t>
        </is>
      </c>
      <c r="D72" t="inlineStr">
        <is>
          <t>Cemuhî</t>
        </is>
      </c>
      <c r="E72" t="inlineStr">
        <is>
          <t>Patient.language</t>
        </is>
      </c>
      <c r="F72" t="inlineStr">
        <is>
          <t>urn:ietf:bcp:47</t>
        </is>
      </c>
      <c r="G72" t="inlineStr">
        <is>
          <t>cam</t>
        </is>
      </c>
      <c r="H72" t="inlineStr">
        <is>
          <t>Cemuhî</t>
        </is>
      </c>
      <c r="I72" t="inlineStr">
        <is>
          <t>exact</t>
        </is>
      </c>
      <c r="J72" t="inlineStr">
        <is>
          <t>Approved</t>
        </is>
      </c>
      <c r="K72" t="inlineStr"/>
      <c r="L72" t="inlineStr"/>
      <c r="M72" t="inlineStr">
        <is>
          <t>SHIE master-demographics survivorship workbook; Table 4/5/2 SQL; Table 4 language detail → BCP 47</t>
        </is>
      </c>
    </row>
    <row r="73">
      <c r="A73" t="inlineStr">
        <is>
          <t>county_master</t>
        </is>
      </c>
      <c r="B73" t="inlineStr">
        <is>
          <t>Language</t>
        </is>
      </c>
      <c r="C73" t="inlineStr">
        <is>
          <t>Cantonese</t>
        </is>
      </c>
      <c r="D73" t="inlineStr">
        <is>
          <t>Cantonese</t>
        </is>
      </c>
      <c r="E73" t="inlineStr">
        <is>
          <t>Patient.language</t>
        </is>
      </c>
      <c r="F73" t="inlineStr">
        <is>
          <t>urn:ietf:bcp:47</t>
        </is>
      </c>
      <c r="G73" t="inlineStr">
        <is>
          <t>yue</t>
        </is>
      </c>
      <c r="H73" t="inlineStr">
        <is>
          <t>Cantonese</t>
        </is>
      </c>
      <c r="I73" t="inlineStr">
        <is>
          <t>exact</t>
        </is>
      </c>
      <c r="J73" t="inlineStr">
        <is>
          <t>Approved</t>
        </is>
      </c>
      <c r="K73" t="inlineStr"/>
      <c r="L73" t="inlineStr"/>
      <c r="M73" t="inlineStr">
        <is>
          <t>SHIE master-demographics survivorship workbook; Table 4/5/2 SQL; Table 4 language detail → BCP 47</t>
        </is>
      </c>
    </row>
    <row r="74">
      <c r="A74" t="inlineStr">
        <is>
          <t>county_master</t>
        </is>
      </c>
      <c r="B74" t="inlineStr">
        <is>
          <t>Language</t>
        </is>
      </c>
      <c r="C74" t="inlineStr">
        <is>
          <t>Catalan; Valencian</t>
        </is>
      </c>
      <c r="D74" t="inlineStr">
        <is>
          <t>Catalan; Valencian</t>
        </is>
      </c>
      <c r="E74" t="inlineStr">
        <is>
          <t>Patient.language</t>
        </is>
      </c>
      <c r="F74" t="inlineStr">
        <is>
          <t>urn:ietf:bcp:47</t>
        </is>
      </c>
      <c r="G74" t="inlineStr">
        <is>
          <t>ca</t>
        </is>
      </c>
      <c r="H74" t="inlineStr">
        <is>
          <t>Catalan; Valencian</t>
        </is>
      </c>
      <c r="I74" t="inlineStr">
        <is>
          <t>exact</t>
        </is>
      </c>
      <c r="J74" t="inlineStr">
        <is>
          <t>Approved</t>
        </is>
      </c>
      <c r="K74" t="inlineStr"/>
      <c r="L74" t="inlineStr"/>
      <c r="M74" t="inlineStr">
        <is>
          <t>SHIE master-demographics survivorship workbook; Table 4/5/2 SQL; Table 4 language detail → BCP 47</t>
        </is>
      </c>
    </row>
    <row r="75">
      <c r="A75" t="inlineStr">
        <is>
          <t>county_master</t>
        </is>
      </c>
      <c r="B75" t="inlineStr">
        <is>
          <t>Language</t>
        </is>
      </c>
      <c r="C75" t="inlineStr">
        <is>
          <t>Central Khmer</t>
        </is>
      </c>
      <c r="D75" t="inlineStr">
        <is>
          <t>Central Khmer</t>
        </is>
      </c>
      <c r="E75" t="inlineStr">
        <is>
          <t>Patient.language</t>
        </is>
      </c>
      <c r="F75" t="inlineStr">
        <is>
          <t>urn:ietf:bcp:47</t>
        </is>
      </c>
      <c r="G75" t="inlineStr">
        <is>
          <t>km</t>
        </is>
      </c>
      <c r="H75" t="inlineStr">
        <is>
          <t>Central Khmer</t>
        </is>
      </c>
      <c r="I75" t="inlineStr">
        <is>
          <t>exact</t>
        </is>
      </c>
      <c r="J75" t="inlineStr">
        <is>
          <t>Approved</t>
        </is>
      </c>
      <c r="K75" t="inlineStr"/>
      <c r="L75" t="inlineStr"/>
      <c r="M75" t="inlineStr">
        <is>
          <t>SHIE master-demographics survivorship workbook; Table 4/5/2 SQL; Table 4 language detail → BCP 47</t>
        </is>
      </c>
    </row>
    <row r="76">
      <c r="A76" t="inlineStr">
        <is>
          <t>county_master</t>
        </is>
      </c>
      <c r="B76" t="inlineStr">
        <is>
          <t>Language</t>
        </is>
      </c>
      <c r="C76" t="inlineStr">
        <is>
          <t>Chinese</t>
        </is>
      </c>
      <c r="D76" t="inlineStr">
        <is>
          <t>Chinese</t>
        </is>
      </c>
      <c r="E76" t="inlineStr">
        <is>
          <t>Patient.language</t>
        </is>
      </c>
      <c r="F76" t="inlineStr">
        <is>
          <t>urn:ietf:bcp:47</t>
        </is>
      </c>
      <c r="G76" t="inlineStr">
        <is>
          <t>zh</t>
        </is>
      </c>
      <c r="H76" t="inlineStr">
        <is>
          <t>Chinese</t>
        </is>
      </c>
      <c r="I76" t="inlineStr">
        <is>
          <t>exact</t>
        </is>
      </c>
      <c r="J76" t="inlineStr">
        <is>
          <t>Approved</t>
        </is>
      </c>
      <c r="K76" t="inlineStr"/>
      <c r="L76" t="inlineStr"/>
      <c r="M76" t="inlineStr">
        <is>
          <t>SHIE master-demographics survivorship workbook; Table 4/5/2 SQL; Table 4 language detail → BCP 47</t>
        </is>
      </c>
    </row>
    <row r="77">
      <c r="A77" t="inlineStr">
        <is>
          <t>county_master</t>
        </is>
      </c>
      <c r="B77" t="inlineStr">
        <is>
          <t>Language</t>
        </is>
      </c>
      <c r="C77" t="inlineStr">
        <is>
          <t>zho</t>
        </is>
      </c>
      <c r="D77" t="inlineStr">
        <is>
          <t>Chinese</t>
        </is>
      </c>
      <c r="E77" t="inlineStr">
        <is>
          <t>Patient.language</t>
        </is>
      </c>
      <c r="F77" t="inlineStr">
        <is>
          <t>urn:ietf:bcp:47</t>
        </is>
      </c>
      <c r="G77" t="inlineStr">
        <is>
          <t>zh</t>
        </is>
      </c>
      <c r="H77" t="inlineStr">
        <is>
          <t>Chinese</t>
        </is>
      </c>
      <c r="I77" t="inlineStr">
        <is>
          <t>exact</t>
        </is>
      </c>
      <c r="J77" t="inlineStr">
        <is>
          <t>Approved</t>
        </is>
      </c>
      <c r="K77" t="inlineStr"/>
      <c r="L77" t="inlineStr"/>
      <c r="M77" t="inlineStr">
        <is>
          <t>SHIE master-demographics survivorship workbook; Table 4/5/2 SQL; Table 4 language detail → BCP 47</t>
        </is>
      </c>
    </row>
    <row r="78">
      <c r="A78" t="inlineStr">
        <is>
          <t>county_master</t>
        </is>
      </c>
      <c r="B78" t="inlineStr">
        <is>
          <t>Language</t>
        </is>
      </c>
      <c r="C78" t="inlineStr">
        <is>
          <t>WU</t>
        </is>
      </c>
      <c r="D78" t="inlineStr">
        <is>
          <t>Chinese</t>
        </is>
      </c>
      <c r="E78" t="inlineStr">
        <is>
          <t>Patient.language</t>
        </is>
      </c>
      <c r="F78" t="inlineStr">
        <is>
          <t>urn:ietf:bcp:47</t>
        </is>
      </c>
      <c r="G78" t="inlineStr">
        <is>
          <t>zh</t>
        </is>
      </c>
      <c r="H78" t="inlineStr">
        <is>
          <t>Chinese</t>
        </is>
      </c>
      <c r="I78" t="inlineStr">
        <is>
          <t>exact</t>
        </is>
      </c>
      <c r="J78" t="inlineStr">
        <is>
          <t>Approved</t>
        </is>
      </c>
      <c r="K78" t="inlineStr"/>
      <c r="L78" t="inlineStr"/>
      <c r="M78" t="inlineStr">
        <is>
          <t>SHIE master-demographics survivorship workbook; Table 4/5/2 SQL; Table 4 language detail → BCP 47</t>
        </is>
      </c>
    </row>
    <row r="79">
      <c r="A79" t="inlineStr">
        <is>
          <t>county_master</t>
        </is>
      </c>
      <c r="B79" t="inlineStr">
        <is>
          <t>Language</t>
        </is>
      </c>
      <c r="C79" t="inlineStr">
        <is>
          <t>Croatian</t>
        </is>
      </c>
      <c r="D79" t="inlineStr">
        <is>
          <t>Croatian</t>
        </is>
      </c>
      <c r="E79" t="inlineStr">
        <is>
          <t>Patient.language</t>
        </is>
      </c>
      <c r="F79" t="inlineStr">
        <is>
          <t>urn:ietf:bcp:47</t>
        </is>
      </c>
      <c r="G79" t="inlineStr">
        <is>
          <t>hr</t>
        </is>
      </c>
      <c r="H79" t="inlineStr">
        <is>
          <t>Croatian</t>
        </is>
      </c>
      <c r="I79" t="inlineStr">
        <is>
          <t>exact</t>
        </is>
      </c>
      <c r="J79" t="inlineStr">
        <is>
          <t>Approved</t>
        </is>
      </c>
      <c r="K79" t="inlineStr"/>
      <c r="L79" t="inlineStr"/>
      <c r="M79" t="inlineStr">
        <is>
          <t>SHIE master-demographics survivorship workbook; Table 4/5/2 SQL; Table 4 language detail → BCP 47</t>
        </is>
      </c>
    </row>
    <row r="80">
      <c r="A80" t="inlineStr">
        <is>
          <t>county_master</t>
        </is>
      </c>
      <c r="B80" t="inlineStr">
        <is>
          <t>Language</t>
        </is>
      </c>
      <c r="C80" t="inlineStr">
        <is>
          <t>Danish</t>
        </is>
      </c>
      <c r="D80" t="inlineStr">
        <is>
          <t>Danish</t>
        </is>
      </c>
      <c r="E80" t="inlineStr">
        <is>
          <t>Patient.language</t>
        </is>
      </c>
      <c r="F80" t="inlineStr">
        <is>
          <t>urn:ietf:bcp:47</t>
        </is>
      </c>
      <c r="G80" t="inlineStr">
        <is>
          <t>da</t>
        </is>
      </c>
      <c r="H80" t="inlineStr">
        <is>
          <t>Danish</t>
        </is>
      </c>
      <c r="I80" t="inlineStr">
        <is>
          <t>exact</t>
        </is>
      </c>
      <c r="J80" t="inlineStr">
        <is>
          <t>Approved</t>
        </is>
      </c>
      <c r="K80" t="inlineStr"/>
      <c r="L80" t="inlineStr"/>
      <c r="M80" t="inlineStr">
        <is>
          <t>SHIE master-demographics survivorship workbook; Table 4/5/2 SQL; Table 4 language detail → BCP 47</t>
        </is>
      </c>
    </row>
    <row r="81">
      <c r="A81" t="inlineStr">
        <is>
          <t>county_master</t>
        </is>
      </c>
      <c r="B81" t="inlineStr">
        <is>
          <t>Language</t>
        </is>
      </c>
      <c r="C81" t="inlineStr">
        <is>
          <t>Dari</t>
        </is>
      </c>
      <c r="D81" t="inlineStr">
        <is>
          <t>Dari</t>
        </is>
      </c>
      <c r="E81" t="inlineStr">
        <is>
          <t>Patient.language</t>
        </is>
      </c>
      <c r="F81" t="inlineStr">
        <is>
          <t>urn:ietf:bcp:47</t>
        </is>
      </c>
      <c r="G81" t="inlineStr">
        <is>
          <t>prs</t>
        </is>
      </c>
      <c r="H81" t="inlineStr">
        <is>
          <t>Dari</t>
        </is>
      </c>
      <c r="I81" t="inlineStr">
        <is>
          <t>exact</t>
        </is>
      </c>
      <c r="J81" t="inlineStr">
        <is>
          <t>Approved</t>
        </is>
      </c>
      <c r="K81" t="inlineStr"/>
      <c r="L81" t="inlineStr"/>
      <c r="M81" t="inlineStr">
        <is>
          <t>SHIE master-demographics survivorship workbook; Table 4/5/2 SQL; Table 4 language detail → BCP 47</t>
        </is>
      </c>
    </row>
    <row r="82">
      <c r="A82" t="inlineStr">
        <is>
          <t>county_master</t>
        </is>
      </c>
      <c r="B82" t="inlineStr">
        <is>
          <t>Language</t>
        </is>
      </c>
      <c r="C82" t="inlineStr">
        <is>
          <t>Dravidian (Other)</t>
        </is>
      </c>
      <c r="D82" t="inlineStr">
        <is>
          <t>Dravidian</t>
        </is>
      </c>
      <c r="E82" t="inlineStr">
        <is>
          <t>Patient.language</t>
        </is>
      </c>
      <c r="F82" t="inlineStr">
        <is>
          <t>urn:ietf:bcp:47</t>
        </is>
      </c>
      <c r="G82" t="inlineStr">
        <is>
          <t>inc</t>
        </is>
      </c>
      <c r="H82" t="inlineStr">
        <is>
          <t>Dravidian</t>
        </is>
      </c>
      <c r="I82" t="inlineStr">
        <is>
          <t>exact</t>
        </is>
      </c>
      <c r="J82" t="inlineStr">
        <is>
          <t>Approved</t>
        </is>
      </c>
      <c r="K82" t="inlineStr"/>
      <c r="L82" t="inlineStr"/>
      <c r="M82" t="inlineStr">
        <is>
          <t>SHIE master-demographics survivorship workbook; Table 4/5/2 SQL; Table 4 language detail → BCP 47</t>
        </is>
      </c>
    </row>
    <row r="83">
      <c r="A83" t="inlineStr">
        <is>
          <t>county_master</t>
        </is>
      </c>
      <c r="B83" t="inlineStr">
        <is>
          <t>Language</t>
        </is>
      </c>
      <c r="C83" t="inlineStr">
        <is>
          <t>Dutch</t>
        </is>
      </c>
      <c r="D83" t="inlineStr">
        <is>
          <t>Dutch</t>
        </is>
      </c>
      <c r="E83" t="inlineStr">
        <is>
          <t>Patient.language</t>
        </is>
      </c>
      <c r="F83" t="inlineStr">
        <is>
          <t>urn:ietf:bcp:47</t>
        </is>
      </c>
      <c r="G83" t="inlineStr">
        <is>
          <t>nl</t>
        </is>
      </c>
      <c r="H83" t="inlineStr">
        <is>
          <t>Dutch</t>
        </is>
      </c>
      <c r="I83" t="inlineStr">
        <is>
          <t>exact</t>
        </is>
      </c>
      <c r="J83" t="inlineStr">
        <is>
          <t>Approved</t>
        </is>
      </c>
      <c r="K83" t="inlineStr"/>
      <c r="L83" t="inlineStr"/>
      <c r="M83" t="inlineStr">
        <is>
          <t>SHIE master-demographics survivorship workbook; Table 4/5/2 SQL; Table 4 language detail → BCP 47</t>
        </is>
      </c>
    </row>
    <row r="84">
      <c r="A84" t="inlineStr">
        <is>
          <t>county_master</t>
        </is>
      </c>
      <c r="B84" t="inlineStr">
        <is>
          <t>Language</t>
        </is>
      </c>
      <c r="C84" t="inlineStr">
        <is>
          <t>nld</t>
        </is>
      </c>
      <c r="D84" t="inlineStr">
        <is>
          <t>Dutch</t>
        </is>
      </c>
      <c r="E84" t="inlineStr">
        <is>
          <t>Patient.language</t>
        </is>
      </c>
      <c r="F84" t="inlineStr">
        <is>
          <t>urn:ietf:bcp:47</t>
        </is>
      </c>
      <c r="G84" t="inlineStr">
        <is>
          <t>nl</t>
        </is>
      </c>
      <c r="H84" t="inlineStr">
        <is>
          <t>Dutch</t>
        </is>
      </c>
      <c r="I84" t="inlineStr">
        <is>
          <t>exact</t>
        </is>
      </c>
      <c r="J84" t="inlineStr">
        <is>
          <t>Approved</t>
        </is>
      </c>
      <c r="K84" t="inlineStr"/>
      <c r="L84" t="inlineStr"/>
      <c r="M84" t="inlineStr">
        <is>
          <t>SHIE master-demographics survivorship workbook; Table 4/5/2 SQL; Table 4 language detail → BCP 47</t>
        </is>
      </c>
    </row>
    <row r="85">
      <c r="A85" t="inlineStr">
        <is>
          <t>county_master</t>
        </is>
      </c>
      <c r="B85" t="inlineStr">
        <is>
          <t>Language</t>
        </is>
      </c>
      <c r="C85" t="inlineStr">
        <is>
          <t>English</t>
        </is>
      </c>
      <c r="D85" t="inlineStr">
        <is>
          <t>English</t>
        </is>
      </c>
      <c r="E85" t="inlineStr">
        <is>
          <t>Patient.language</t>
        </is>
      </c>
      <c r="F85" t="inlineStr">
        <is>
          <t>urn:ietf:bcp:47</t>
        </is>
      </c>
      <c r="G85" t="inlineStr">
        <is>
          <t>en</t>
        </is>
      </c>
      <c r="H85" t="inlineStr">
        <is>
          <t>English</t>
        </is>
      </c>
      <c r="I85" t="inlineStr">
        <is>
          <t>exact</t>
        </is>
      </c>
      <c r="J85" t="inlineStr">
        <is>
          <t>Approved</t>
        </is>
      </c>
      <c r="K85" t="inlineStr"/>
      <c r="L85" t="inlineStr"/>
      <c r="M85" t="inlineStr">
        <is>
          <t>SHIE master-demographics survivorship workbook; Table 4/5/2 SQL; Table 4 language detail → BCP 47</t>
        </is>
      </c>
    </row>
    <row r="86">
      <c r="A86" t="inlineStr">
        <is>
          <t>county_master</t>
        </is>
      </c>
      <c r="B86" t="inlineStr">
        <is>
          <t>Language</t>
        </is>
      </c>
      <c r="C86" t="inlineStr">
        <is>
          <t>eng</t>
        </is>
      </c>
      <c r="D86" t="inlineStr">
        <is>
          <t>English</t>
        </is>
      </c>
      <c r="E86" t="inlineStr">
        <is>
          <t>Patient.language</t>
        </is>
      </c>
      <c r="F86" t="inlineStr">
        <is>
          <t>urn:ietf:bcp:47</t>
        </is>
      </c>
      <c r="G86" t="inlineStr">
        <is>
          <t>en</t>
        </is>
      </c>
      <c r="H86" t="inlineStr">
        <is>
          <t>English</t>
        </is>
      </c>
      <c r="I86" t="inlineStr">
        <is>
          <t>exact</t>
        </is>
      </c>
      <c r="J86" t="inlineStr">
        <is>
          <t>Approved</t>
        </is>
      </c>
      <c r="K86" t="inlineStr"/>
      <c r="L86" t="inlineStr"/>
      <c r="M86" t="inlineStr">
        <is>
          <t>SHIE master-demographics survivorship workbook; Table 4/5/2 SQL; Table 4 language detail → BCP 47</t>
        </is>
      </c>
    </row>
    <row r="87">
      <c r="A87" t="inlineStr">
        <is>
          <t>county_master</t>
        </is>
      </c>
      <c r="B87" t="inlineStr">
        <is>
          <t>Language</t>
        </is>
      </c>
      <c r="C87" t="inlineStr">
        <is>
          <t>Esperanto</t>
        </is>
      </c>
      <c r="D87" t="inlineStr">
        <is>
          <t>Esperanto</t>
        </is>
      </c>
      <c r="E87" t="inlineStr">
        <is>
          <t>Patient.language</t>
        </is>
      </c>
      <c r="F87" t="inlineStr">
        <is>
          <t>urn:ietf:bcp:47</t>
        </is>
      </c>
      <c r="G87" t="inlineStr">
        <is>
          <t>eo</t>
        </is>
      </c>
      <c r="H87" t="inlineStr">
        <is>
          <t>Esperanto</t>
        </is>
      </c>
      <c r="I87" t="inlineStr">
        <is>
          <t>exact</t>
        </is>
      </c>
      <c r="J87" t="inlineStr">
        <is>
          <t>Approved</t>
        </is>
      </c>
      <c r="K87" t="inlineStr"/>
      <c r="L87" t="inlineStr"/>
      <c r="M87" t="inlineStr">
        <is>
          <t>SHIE master-demographics survivorship workbook; Table 4/5/2 SQL; Table 4 language detail → BCP 47</t>
        </is>
      </c>
    </row>
    <row r="88">
      <c r="A88" t="inlineStr">
        <is>
          <t>county_master</t>
        </is>
      </c>
      <c r="B88" t="inlineStr">
        <is>
          <t>Language</t>
        </is>
      </c>
      <c r="C88" t="inlineStr">
        <is>
          <t>Ethiopic</t>
        </is>
      </c>
      <c r="D88" t="inlineStr">
        <is>
          <t>Ethiopic</t>
        </is>
      </c>
      <c r="E88" t="inlineStr">
        <is>
          <t>Patient.language</t>
        </is>
      </c>
      <c r="F88" t="inlineStr">
        <is>
          <t>urn:ietf:bcp:47</t>
        </is>
      </c>
      <c r="G88" t="inlineStr">
        <is>
          <t>gez</t>
        </is>
      </c>
      <c r="H88" t="inlineStr">
        <is>
          <t>Ethiopic</t>
        </is>
      </c>
      <c r="I88" t="inlineStr">
        <is>
          <t>exact</t>
        </is>
      </c>
      <c r="J88" t="inlineStr">
        <is>
          <t>Approved</t>
        </is>
      </c>
      <c r="K88" t="inlineStr"/>
      <c r="L88" t="inlineStr"/>
      <c r="M88" t="inlineStr">
        <is>
          <t>SHIE master-demographics survivorship workbook; Table 4/5/2 SQL; Table 4 language detail → BCP 47</t>
        </is>
      </c>
    </row>
    <row r="89">
      <c r="A89" t="inlineStr">
        <is>
          <t>county_master</t>
        </is>
      </c>
      <c r="B89" t="inlineStr">
        <is>
          <t>Language</t>
        </is>
      </c>
      <c r="C89" t="inlineStr">
        <is>
          <t>FAR</t>
        </is>
      </c>
      <c r="D89" t="inlineStr">
        <is>
          <t>Fataleka</t>
        </is>
      </c>
      <c r="E89" t="inlineStr">
        <is>
          <t>Patient.language</t>
        </is>
      </c>
      <c r="F89" t="inlineStr">
        <is>
          <t>urn:ietf:bcp:47</t>
        </is>
      </c>
      <c r="G89" t="inlineStr">
        <is>
          <t>far</t>
        </is>
      </c>
      <c r="H89" t="inlineStr">
        <is>
          <t>Fataleka</t>
        </is>
      </c>
      <c r="I89" t="inlineStr">
        <is>
          <t>exact</t>
        </is>
      </c>
      <c r="J89" t="inlineStr">
        <is>
          <t>Approved</t>
        </is>
      </c>
      <c r="K89" t="inlineStr"/>
      <c r="L89" t="inlineStr"/>
      <c r="M89" t="inlineStr">
        <is>
          <t>SHIE master-demographics survivorship workbook; Table 4/5/2 SQL; Table 4 language detail → BCP 47</t>
        </is>
      </c>
    </row>
    <row r="90">
      <c r="A90" t="inlineStr">
        <is>
          <t>county_master</t>
        </is>
      </c>
      <c r="B90" t="inlineStr">
        <is>
          <t>Language</t>
        </is>
      </c>
      <c r="C90" t="inlineStr">
        <is>
          <t>Faroese</t>
        </is>
      </c>
      <c r="D90" t="inlineStr">
        <is>
          <t>Faroese</t>
        </is>
      </c>
      <c r="E90" t="inlineStr">
        <is>
          <t>Patient.language</t>
        </is>
      </c>
      <c r="F90" t="inlineStr">
        <is>
          <t>urn:ietf:bcp:47</t>
        </is>
      </c>
      <c r="G90" t="inlineStr">
        <is>
          <t>fo</t>
        </is>
      </c>
      <c r="H90" t="inlineStr">
        <is>
          <t>Faroese</t>
        </is>
      </c>
      <c r="I90" t="inlineStr">
        <is>
          <t>exact</t>
        </is>
      </c>
      <c r="J90" t="inlineStr">
        <is>
          <t>Approved</t>
        </is>
      </c>
      <c r="K90" t="inlineStr"/>
      <c r="L90" t="inlineStr"/>
      <c r="M90" t="inlineStr">
        <is>
          <t>SHIE master-demographics survivorship workbook; Table 4/5/2 SQL; Table 4 language detail → BCP 47</t>
        </is>
      </c>
    </row>
    <row r="91">
      <c r="A91" t="inlineStr">
        <is>
          <t>county_master</t>
        </is>
      </c>
      <c r="B91" t="inlineStr">
        <is>
          <t>Language</t>
        </is>
      </c>
      <c r="C91" t="inlineStr">
        <is>
          <t>Farsi</t>
        </is>
      </c>
      <c r="D91" t="inlineStr">
        <is>
          <t>Farsi</t>
        </is>
      </c>
      <c r="E91" t="inlineStr">
        <is>
          <t>Patient.language</t>
        </is>
      </c>
      <c r="F91" t="inlineStr">
        <is>
          <t>urn:ietf:bcp:47</t>
        </is>
      </c>
      <c r="G91" t="inlineStr">
        <is>
          <t>fa</t>
        </is>
      </c>
      <c r="H91" t="inlineStr">
        <is>
          <t>Farsi</t>
        </is>
      </c>
      <c r="I91" t="inlineStr">
        <is>
          <t>exact</t>
        </is>
      </c>
      <c r="J91" t="inlineStr">
        <is>
          <t>Approved</t>
        </is>
      </c>
      <c r="K91" t="inlineStr"/>
      <c r="L91" t="inlineStr"/>
      <c r="M91" t="inlineStr">
        <is>
          <t>SHIE master-demographics survivorship workbook; Table 4/5/2 SQL; Table 4 language detail → BCP 47</t>
        </is>
      </c>
    </row>
    <row r="92">
      <c r="A92" t="inlineStr">
        <is>
          <t>county_master</t>
        </is>
      </c>
      <c r="B92" t="inlineStr">
        <is>
          <t>Language</t>
        </is>
      </c>
      <c r="C92" t="inlineStr">
        <is>
          <t>Fijian</t>
        </is>
      </c>
      <c r="D92" t="inlineStr">
        <is>
          <t>Fijian</t>
        </is>
      </c>
      <c r="E92" t="inlineStr">
        <is>
          <t>Patient.language</t>
        </is>
      </c>
      <c r="F92" t="inlineStr">
        <is>
          <t>urn:ietf:bcp:47</t>
        </is>
      </c>
      <c r="G92" t="inlineStr">
        <is>
          <t>fj</t>
        </is>
      </c>
      <c r="H92" t="inlineStr">
        <is>
          <t>Fijian</t>
        </is>
      </c>
      <c r="I92" t="inlineStr">
        <is>
          <t>exact</t>
        </is>
      </c>
      <c r="J92" t="inlineStr">
        <is>
          <t>Approved</t>
        </is>
      </c>
      <c r="K92" t="inlineStr"/>
      <c r="L92" t="inlineStr"/>
      <c r="M92" t="inlineStr">
        <is>
          <t>SHIE master-demographics survivorship workbook; Table 4/5/2 SQL; Table 4 language detail → BCP 47</t>
        </is>
      </c>
    </row>
    <row r="93">
      <c r="A93" t="inlineStr">
        <is>
          <t>county_master</t>
        </is>
      </c>
      <c r="B93" t="inlineStr">
        <is>
          <t>Language</t>
        </is>
      </c>
      <c r="C93" t="inlineStr">
        <is>
          <t>Filipino</t>
        </is>
      </c>
      <c r="D93" t="inlineStr">
        <is>
          <t>Filipino</t>
        </is>
      </c>
      <c r="E93" t="inlineStr">
        <is>
          <t>Patient.language</t>
        </is>
      </c>
      <c r="F93" t="inlineStr">
        <is>
          <t>urn:ietf:bcp:47</t>
        </is>
      </c>
      <c r="G93" t="inlineStr">
        <is>
          <t>fil</t>
        </is>
      </c>
      <c r="H93" t="inlineStr">
        <is>
          <t>Filipino</t>
        </is>
      </c>
      <c r="I93" t="inlineStr">
        <is>
          <t>exact</t>
        </is>
      </c>
      <c r="J93" t="inlineStr">
        <is>
          <t>Approved</t>
        </is>
      </c>
      <c r="K93" t="inlineStr"/>
      <c r="L93" t="inlineStr"/>
      <c r="M93" t="inlineStr">
        <is>
          <t>SHIE master-demographics survivorship workbook; Table 4/5/2 SQL; Table 4 language detail → BCP 47</t>
        </is>
      </c>
    </row>
    <row r="94">
      <c r="A94" t="inlineStr">
        <is>
          <t>county_master</t>
        </is>
      </c>
      <c r="B94" t="inlineStr">
        <is>
          <t>Language</t>
        </is>
      </c>
      <c r="C94" t="inlineStr">
        <is>
          <t>French</t>
        </is>
      </c>
      <c r="D94" t="inlineStr">
        <is>
          <t>French</t>
        </is>
      </c>
      <c r="E94" t="inlineStr">
        <is>
          <t>Patient.language</t>
        </is>
      </c>
      <c r="F94" t="inlineStr">
        <is>
          <t>urn:ietf:bcp:47</t>
        </is>
      </c>
      <c r="G94" t="inlineStr">
        <is>
          <t>fr</t>
        </is>
      </c>
      <c r="H94" t="inlineStr">
        <is>
          <t>French</t>
        </is>
      </c>
      <c r="I94" t="inlineStr">
        <is>
          <t>exact</t>
        </is>
      </c>
      <c r="J94" t="inlineStr">
        <is>
          <t>Approved</t>
        </is>
      </c>
      <c r="K94" t="inlineStr"/>
      <c r="L94" t="inlineStr"/>
      <c r="M94" t="inlineStr">
        <is>
          <t>SHIE master-demographics survivorship workbook; Table 4/5/2 SQL; Table 4 language detail → BCP 47</t>
        </is>
      </c>
    </row>
    <row r="95">
      <c r="A95" t="inlineStr">
        <is>
          <t>county_master</t>
        </is>
      </c>
      <c r="B95" t="inlineStr">
        <is>
          <t>Language</t>
        </is>
      </c>
      <c r="C95" t="inlineStr">
        <is>
          <t>Georgian</t>
        </is>
      </c>
      <c r="D95" t="inlineStr">
        <is>
          <t>Georgian</t>
        </is>
      </c>
      <c r="E95" t="inlineStr">
        <is>
          <t>Patient.language</t>
        </is>
      </c>
      <c r="F95" t="inlineStr">
        <is>
          <t>urn:ietf:bcp:47</t>
        </is>
      </c>
      <c r="G95" t="inlineStr">
        <is>
          <t>ka</t>
        </is>
      </c>
      <c r="H95" t="inlineStr">
        <is>
          <t>Georgian</t>
        </is>
      </c>
      <c r="I95" t="inlineStr">
        <is>
          <t>exact</t>
        </is>
      </c>
      <c r="J95" t="inlineStr">
        <is>
          <t>Approved</t>
        </is>
      </c>
      <c r="K95" t="inlineStr"/>
      <c r="L95" t="inlineStr"/>
      <c r="M95" t="inlineStr">
        <is>
          <t>SHIE master-demographics survivorship workbook; Table 4/5/2 SQL; Table 4 language detail → BCP 47</t>
        </is>
      </c>
    </row>
    <row r="96">
      <c r="A96" t="inlineStr">
        <is>
          <t>county_master</t>
        </is>
      </c>
      <c r="B96" t="inlineStr">
        <is>
          <t>Language</t>
        </is>
      </c>
      <c r="C96" t="inlineStr">
        <is>
          <t>German</t>
        </is>
      </c>
      <c r="D96" t="inlineStr">
        <is>
          <t>German</t>
        </is>
      </c>
      <c r="E96" t="inlineStr">
        <is>
          <t>Patient.language</t>
        </is>
      </c>
      <c r="F96" t="inlineStr">
        <is>
          <t>urn:ietf:bcp:47</t>
        </is>
      </c>
      <c r="G96" t="inlineStr">
        <is>
          <t>de</t>
        </is>
      </c>
      <c r="H96" t="inlineStr">
        <is>
          <t>German</t>
        </is>
      </c>
      <c r="I96" t="inlineStr">
        <is>
          <t>exact</t>
        </is>
      </c>
      <c r="J96" t="inlineStr">
        <is>
          <t>Approved</t>
        </is>
      </c>
      <c r="K96" t="inlineStr"/>
      <c r="L96" t="inlineStr"/>
      <c r="M96" t="inlineStr">
        <is>
          <t>SHIE master-demographics survivorship workbook; Table 4/5/2 SQL; Table 4 language detail → BCP 47</t>
        </is>
      </c>
    </row>
    <row r="97">
      <c r="A97" t="inlineStr">
        <is>
          <t>county_master</t>
        </is>
      </c>
      <c r="B97" t="inlineStr">
        <is>
          <t>Language</t>
        </is>
      </c>
      <c r="C97" t="inlineStr">
        <is>
          <t>Greek, Modern (1453-)</t>
        </is>
      </c>
      <c r="D97" t="inlineStr">
        <is>
          <t>Modern Greek</t>
        </is>
      </c>
      <c r="E97" t="inlineStr">
        <is>
          <t>Patient.language</t>
        </is>
      </c>
      <c r="F97" t="inlineStr">
        <is>
          <t>urn:ietf:bcp:47</t>
        </is>
      </c>
      <c r="G97" t="inlineStr">
        <is>
          <t>el</t>
        </is>
      </c>
      <c r="H97" t="inlineStr">
        <is>
          <t>Modern Greek</t>
        </is>
      </c>
      <c r="I97" t="inlineStr">
        <is>
          <t>exact</t>
        </is>
      </c>
      <c r="J97" t="inlineStr">
        <is>
          <t>Approved</t>
        </is>
      </c>
      <c r="K97" t="inlineStr"/>
      <c r="L97" t="inlineStr"/>
      <c r="M97" t="inlineStr">
        <is>
          <t>SHIE master-demographics survivorship workbook; Table 4/5/2 SQL; Table 4 language detail → BCP 47</t>
        </is>
      </c>
    </row>
    <row r="98">
      <c r="A98" t="inlineStr">
        <is>
          <t>county_master</t>
        </is>
      </c>
      <c r="B98" t="inlineStr">
        <is>
          <t>Language</t>
        </is>
      </c>
      <c r="C98" t="inlineStr">
        <is>
          <t>Gujarati</t>
        </is>
      </c>
      <c r="D98" t="inlineStr">
        <is>
          <t>Gujarati</t>
        </is>
      </c>
      <c r="E98" t="inlineStr">
        <is>
          <t>Patient.language</t>
        </is>
      </c>
      <c r="F98" t="inlineStr">
        <is>
          <t>urn:ietf:bcp:47</t>
        </is>
      </c>
      <c r="G98" t="inlineStr">
        <is>
          <t>gu</t>
        </is>
      </c>
      <c r="H98" t="inlineStr">
        <is>
          <t>Gujarati</t>
        </is>
      </c>
      <c r="I98" t="inlineStr">
        <is>
          <t>exact</t>
        </is>
      </c>
      <c r="J98" t="inlineStr">
        <is>
          <t>Approved</t>
        </is>
      </c>
      <c r="K98" t="inlineStr"/>
      <c r="L98" t="inlineStr"/>
      <c r="M98" t="inlineStr">
        <is>
          <t>SHIE master-demographics survivorship workbook; Table 4/5/2 SQL; Table 4 language detail → BCP 47</t>
        </is>
      </c>
    </row>
    <row r="99">
      <c r="A99" t="inlineStr">
        <is>
          <t>county_master</t>
        </is>
      </c>
      <c r="B99" t="inlineStr">
        <is>
          <t>Language</t>
        </is>
      </c>
      <c r="C99" t="inlineStr">
        <is>
          <t>Hebrew</t>
        </is>
      </c>
      <c r="D99" t="inlineStr">
        <is>
          <t>Hebrew</t>
        </is>
      </c>
      <c r="E99" t="inlineStr">
        <is>
          <t>Patient.language</t>
        </is>
      </c>
      <c r="F99" t="inlineStr">
        <is>
          <t>urn:ietf:bcp:47</t>
        </is>
      </c>
      <c r="G99" t="inlineStr">
        <is>
          <t>he</t>
        </is>
      </c>
      <c r="H99" t="inlineStr">
        <is>
          <t>Hebrew</t>
        </is>
      </c>
      <c r="I99" t="inlineStr">
        <is>
          <t>exact</t>
        </is>
      </c>
      <c r="J99" t="inlineStr">
        <is>
          <t>Approved</t>
        </is>
      </c>
      <c r="K99" t="inlineStr"/>
      <c r="L99" t="inlineStr"/>
      <c r="M99" t="inlineStr">
        <is>
          <t>SHIE master-demographics survivorship workbook; Table 4/5/2 SQL; Table 4 language detail → BCP 47</t>
        </is>
      </c>
    </row>
    <row r="100">
      <c r="A100" t="inlineStr">
        <is>
          <t>county_master</t>
        </is>
      </c>
      <c r="B100" t="inlineStr">
        <is>
          <t>Language</t>
        </is>
      </c>
      <c r="C100" t="inlineStr">
        <is>
          <t>Hindi</t>
        </is>
      </c>
      <c r="D100" t="inlineStr">
        <is>
          <t>Hindi</t>
        </is>
      </c>
      <c r="E100" t="inlineStr">
        <is>
          <t>Patient.language</t>
        </is>
      </c>
      <c r="F100" t="inlineStr">
        <is>
          <t>urn:ietf:bcp:47</t>
        </is>
      </c>
      <c r="G100" t="inlineStr">
        <is>
          <t>hi</t>
        </is>
      </c>
      <c r="H100" t="inlineStr">
        <is>
          <t>Hindi</t>
        </is>
      </c>
      <c r="I100" t="inlineStr">
        <is>
          <t>exact</t>
        </is>
      </c>
      <c r="J100" t="inlineStr">
        <is>
          <t>Approved</t>
        </is>
      </c>
      <c r="K100" t="inlineStr"/>
      <c r="L100" t="inlineStr"/>
      <c r="M100" t="inlineStr">
        <is>
          <t>SHIE master-demographics survivorship workbook; Table 4/5/2 SQL; Table 4 language detail → BCP 47</t>
        </is>
      </c>
    </row>
    <row r="101">
      <c r="A101" t="inlineStr">
        <is>
          <t>county_master</t>
        </is>
      </c>
      <c r="B101" t="inlineStr">
        <is>
          <t>Language</t>
        </is>
      </c>
      <c r="C101" t="inlineStr">
        <is>
          <t>hin</t>
        </is>
      </c>
      <c r="D101" t="inlineStr">
        <is>
          <t>Hindi</t>
        </is>
      </c>
      <c r="E101" t="inlineStr">
        <is>
          <t>Patient.language</t>
        </is>
      </c>
      <c r="F101" t="inlineStr">
        <is>
          <t>urn:ietf:bcp:47</t>
        </is>
      </c>
      <c r="G101" t="inlineStr">
        <is>
          <t>hi</t>
        </is>
      </c>
      <c r="H101" t="inlineStr">
        <is>
          <t>Hindi</t>
        </is>
      </c>
      <c r="I101" t="inlineStr">
        <is>
          <t>exact</t>
        </is>
      </c>
      <c r="J101" t="inlineStr">
        <is>
          <t>Approved</t>
        </is>
      </c>
      <c r="K101" t="inlineStr"/>
      <c r="L101" t="inlineStr"/>
      <c r="M101" t="inlineStr">
        <is>
          <t>SHIE master-demographics survivorship workbook; Table 4/5/2 SQL; Table 4 language detail → BCP 47</t>
        </is>
      </c>
    </row>
    <row r="102">
      <c r="A102" t="inlineStr">
        <is>
          <t>county_master</t>
        </is>
      </c>
      <c r="B102" t="inlineStr">
        <is>
          <t>Language</t>
        </is>
      </c>
      <c r="C102" t="inlineStr">
        <is>
          <t>Hungarian</t>
        </is>
      </c>
      <c r="D102" t="inlineStr">
        <is>
          <t>Hungarian</t>
        </is>
      </c>
      <c r="E102" t="inlineStr">
        <is>
          <t>Patient.language</t>
        </is>
      </c>
      <c r="F102" t="inlineStr">
        <is>
          <t>urn:ietf:bcp:47</t>
        </is>
      </c>
      <c r="G102" t="inlineStr">
        <is>
          <t>hu</t>
        </is>
      </c>
      <c r="H102" t="inlineStr">
        <is>
          <t>Hungarian</t>
        </is>
      </c>
      <c r="I102" t="inlineStr">
        <is>
          <t>exact</t>
        </is>
      </c>
      <c r="J102" t="inlineStr">
        <is>
          <t>Approved</t>
        </is>
      </c>
      <c r="K102" t="inlineStr"/>
      <c r="L102" t="inlineStr"/>
      <c r="M102" t="inlineStr">
        <is>
          <t>SHIE master-demographics survivorship workbook; Table 4/5/2 SQL; Table 4 language detail → BCP 47</t>
        </is>
      </c>
    </row>
    <row r="103">
      <c r="A103" t="inlineStr">
        <is>
          <t>county_master</t>
        </is>
      </c>
      <c r="B103" t="inlineStr">
        <is>
          <t>Language</t>
        </is>
      </c>
      <c r="C103" t="inlineStr">
        <is>
          <t>Igbo</t>
        </is>
      </c>
      <c r="D103" t="inlineStr">
        <is>
          <t>Igbo</t>
        </is>
      </c>
      <c r="E103" t="inlineStr">
        <is>
          <t>Patient.language</t>
        </is>
      </c>
      <c r="F103" t="inlineStr">
        <is>
          <t>urn:ietf:bcp:47</t>
        </is>
      </c>
      <c r="G103" t="inlineStr">
        <is>
          <t>ig</t>
        </is>
      </c>
      <c r="H103" t="inlineStr">
        <is>
          <t>Igbo</t>
        </is>
      </c>
      <c r="I103" t="inlineStr">
        <is>
          <t>exact</t>
        </is>
      </c>
      <c r="J103" t="inlineStr">
        <is>
          <t>Approved</t>
        </is>
      </c>
      <c r="K103" t="inlineStr"/>
      <c r="L103" t="inlineStr"/>
      <c r="M103" t="inlineStr">
        <is>
          <t>SHIE master-demographics survivorship workbook; Table 4/5/2 SQL; Table 4 language detail → BCP 47</t>
        </is>
      </c>
    </row>
    <row r="104">
      <c r="A104" t="inlineStr">
        <is>
          <t>county_master</t>
        </is>
      </c>
      <c r="B104" t="inlineStr">
        <is>
          <t>Language</t>
        </is>
      </c>
      <c r="C104" t="inlineStr">
        <is>
          <t>Indonesian</t>
        </is>
      </c>
      <c r="D104" t="inlineStr">
        <is>
          <t>Indonesian</t>
        </is>
      </c>
      <c r="E104" t="inlineStr">
        <is>
          <t>Patient.language</t>
        </is>
      </c>
      <c r="F104" t="inlineStr">
        <is>
          <t>urn:ietf:bcp:47</t>
        </is>
      </c>
      <c r="G104" t="inlineStr">
        <is>
          <t>id</t>
        </is>
      </c>
      <c r="H104" t="inlineStr">
        <is>
          <t>Indonesian</t>
        </is>
      </c>
      <c r="I104" t="inlineStr">
        <is>
          <t>exact</t>
        </is>
      </c>
      <c r="J104" t="inlineStr">
        <is>
          <t>Approved</t>
        </is>
      </c>
      <c r="K104" t="inlineStr"/>
      <c r="L104" t="inlineStr"/>
      <c r="M104" t="inlineStr">
        <is>
          <t>SHIE master-demographics survivorship workbook; Table 4/5/2 SQL; Table 4 language detail → BCP 47</t>
        </is>
      </c>
    </row>
    <row r="105">
      <c r="A105" t="inlineStr">
        <is>
          <t>county_master</t>
        </is>
      </c>
      <c r="B105" t="inlineStr">
        <is>
          <t>Language</t>
        </is>
      </c>
      <c r="C105" t="inlineStr">
        <is>
          <t>Italian</t>
        </is>
      </c>
      <c r="D105" t="inlineStr">
        <is>
          <t>Italian</t>
        </is>
      </c>
      <c r="E105" t="inlineStr">
        <is>
          <t>Patient.language</t>
        </is>
      </c>
      <c r="F105" t="inlineStr">
        <is>
          <t>urn:ietf:bcp:47</t>
        </is>
      </c>
      <c r="G105" t="inlineStr">
        <is>
          <t>it</t>
        </is>
      </c>
      <c r="H105" t="inlineStr">
        <is>
          <t>Italian</t>
        </is>
      </c>
      <c r="I105" t="inlineStr">
        <is>
          <t>exact</t>
        </is>
      </c>
      <c r="J105" t="inlineStr">
        <is>
          <t>Approved</t>
        </is>
      </c>
      <c r="K105" t="inlineStr"/>
      <c r="L105" t="inlineStr"/>
      <c r="M105" t="inlineStr">
        <is>
          <t>SHIE master-demographics survivorship workbook; Table 4/5/2 SQL; Table 4 language detail → BCP 47</t>
        </is>
      </c>
    </row>
    <row r="106">
      <c r="A106" t="inlineStr">
        <is>
          <t>county_master</t>
        </is>
      </c>
      <c r="B106" t="inlineStr">
        <is>
          <t>Language</t>
        </is>
      </c>
      <c r="C106" t="inlineStr">
        <is>
          <t>Japanese</t>
        </is>
      </c>
      <c r="D106" t="inlineStr">
        <is>
          <t>Japanese</t>
        </is>
      </c>
      <c r="E106" t="inlineStr">
        <is>
          <t>Patient.language</t>
        </is>
      </c>
      <c r="F106" t="inlineStr">
        <is>
          <t>urn:ietf:bcp:47</t>
        </is>
      </c>
      <c r="G106" t="inlineStr">
        <is>
          <t>ja</t>
        </is>
      </c>
      <c r="H106" t="inlineStr">
        <is>
          <t>Japanese</t>
        </is>
      </c>
      <c r="I106" t="inlineStr">
        <is>
          <t>exact</t>
        </is>
      </c>
      <c r="J106" t="inlineStr">
        <is>
          <t>Approved</t>
        </is>
      </c>
      <c r="K106" t="inlineStr"/>
      <c r="L106" t="inlineStr"/>
      <c r="M106" t="inlineStr">
        <is>
          <t>SHIE master-demographics survivorship workbook; Table 4/5/2 SQL; Table 4 language detail → BCP 47</t>
        </is>
      </c>
    </row>
    <row r="107">
      <c r="A107" t="inlineStr">
        <is>
          <t>county_master</t>
        </is>
      </c>
      <c r="B107" t="inlineStr">
        <is>
          <t>Language</t>
        </is>
      </c>
      <c r="C107" t="inlineStr">
        <is>
          <t>jpn</t>
        </is>
      </c>
      <c r="D107" t="inlineStr">
        <is>
          <t>Japanese</t>
        </is>
      </c>
      <c r="E107" t="inlineStr">
        <is>
          <t>Patient.language</t>
        </is>
      </c>
      <c r="F107" t="inlineStr">
        <is>
          <t>urn:ietf:bcp:47</t>
        </is>
      </c>
      <c r="G107" t="inlineStr">
        <is>
          <t>ja</t>
        </is>
      </c>
      <c r="H107" t="inlineStr">
        <is>
          <t>Japanese</t>
        </is>
      </c>
      <c r="I107" t="inlineStr">
        <is>
          <t>exact</t>
        </is>
      </c>
      <c r="J107" t="inlineStr">
        <is>
          <t>Approved</t>
        </is>
      </c>
      <c r="K107" t="inlineStr"/>
      <c r="L107" t="inlineStr"/>
      <c r="M107" t="inlineStr">
        <is>
          <t>SHIE master-demographics survivorship workbook; Table 4/5/2 SQL; Table 4 language detail → BCP 47</t>
        </is>
      </c>
    </row>
    <row r="108">
      <c r="A108" t="inlineStr">
        <is>
          <t>county_master</t>
        </is>
      </c>
      <c r="B108" t="inlineStr">
        <is>
          <t>Language</t>
        </is>
      </c>
      <c r="C108" t="inlineStr">
        <is>
          <t>Karen</t>
        </is>
      </c>
      <c r="D108" t="inlineStr">
        <is>
          <t>Karen</t>
        </is>
      </c>
      <c r="E108" t="inlineStr">
        <is>
          <t>Patient.language</t>
        </is>
      </c>
      <c r="F108" t="inlineStr">
        <is>
          <t>urn:ietf:bcp:47</t>
        </is>
      </c>
      <c r="G108" t="inlineStr">
        <is>
          <t>kar</t>
        </is>
      </c>
      <c r="H108" t="inlineStr">
        <is>
          <t>Karen</t>
        </is>
      </c>
      <c r="I108" t="inlineStr">
        <is>
          <t>exact</t>
        </is>
      </c>
      <c r="J108" t="inlineStr">
        <is>
          <t>Approved</t>
        </is>
      </c>
      <c r="K108" t="inlineStr"/>
      <c r="L108" t="inlineStr"/>
      <c r="M108" t="inlineStr">
        <is>
          <t>SHIE master-demographics survivorship workbook; Table 4/5/2 SQL; Table 4 language detail → BCP 47</t>
        </is>
      </c>
    </row>
    <row r="109">
      <c r="A109" t="inlineStr">
        <is>
          <t>county_master</t>
        </is>
      </c>
      <c r="B109" t="inlineStr">
        <is>
          <t>Language</t>
        </is>
      </c>
      <c r="C109" t="inlineStr">
        <is>
          <t>Khotanese</t>
        </is>
      </c>
      <c r="D109" t="inlineStr">
        <is>
          <t>Khotanese</t>
        </is>
      </c>
      <c r="E109" t="inlineStr">
        <is>
          <t>Patient.language</t>
        </is>
      </c>
      <c r="F109" t="inlineStr">
        <is>
          <t>urn:ietf:bcp:47</t>
        </is>
      </c>
      <c r="G109" t="inlineStr">
        <is>
          <t>kho</t>
        </is>
      </c>
      <c r="H109" t="inlineStr">
        <is>
          <t>Khotanese</t>
        </is>
      </c>
      <c r="I109" t="inlineStr">
        <is>
          <t>exact</t>
        </is>
      </c>
      <c r="J109" t="inlineStr">
        <is>
          <t>Approved</t>
        </is>
      </c>
      <c r="K109" t="inlineStr"/>
      <c r="L109" t="inlineStr"/>
      <c r="M109" t="inlineStr">
        <is>
          <t>SHIE master-demographics survivorship workbook; Table 4/5/2 SQL; Table 4 language detail → BCP 47</t>
        </is>
      </c>
    </row>
    <row r="110">
      <c r="A110" t="inlineStr">
        <is>
          <t>county_master</t>
        </is>
      </c>
      <c r="B110" t="inlineStr">
        <is>
          <t>Language</t>
        </is>
      </c>
      <c r="C110" t="inlineStr">
        <is>
          <t>Korean</t>
        </is>
      </c>
      <c r="D110" t="inlineStr">
        <is>
          <t>Korean</t>
        </is>
      </c>
      <c r="E110" t="inlineStr">
        <is>
          <t>Patient.language</t>
        </is>
      </c>
      <c r="F110" t="inlineStr">
        <is>
          <t>urn:ietf:bcp:47</t>
        </is>
      </c>
      <c r="G110" t="inlineStr">
        <is>
          <t>ko</t>
        </is>
      </c>
      <c r="H110" t="inlineStr">
        <is>
          <t>Korean</t>
        </is>
      </c>
      <c r="I110" t="inlineStr">
        <is>
          <t>exact</t>
        </is>
      </c>
      <c r="J110" t="inlineStr">
        <is>
          <t>Approved</t>
        </is>
      </c>
      <c r="K110" t="inlineStr"/>
      <c r="L110" t="inlineStr"/>
      <c r="M110" t="inlineStr">
        <is>
          <t>SHIE master-demographics survivorship workbook; Table 4/5/2 SQL; Table 4 language detail → BCP 47</t>
        </is>
      </c>
    </row>
    <row r="111">
      <c r="A111" t="inlineStr">
        <is>
          <t>county_master</t>
        </is>
      </c>
      <c r="B111" t="inlineStr">
        <is>
          <t>Language</t>
        </is>
      </c>
      <c r="C111" t="inlineStr">
        <is>
          <t>Lao</t>
        </is>
      </c>
      <c r="D111" t="inlineStr">
        <is>
          <t>Lao</t>
        </is>
      </c>
      <c r="E111" t="inlineStr">
        <is>
          <t>Patient.language</t>
        </is>
      </c>
      <c r="F111" t="inlineStr">
        <is>
          <t>urn:ietf:bcp:47</t>
        </is>
      </c>
      <c r="G111" t="inlineStr">
        <is>
          <t>lo</t>
        </is>
      </c>
      <c r="H111" t="inlineStr">
        <is>
          <t>Lao</t>
        </is>
      </c>
      <c r="I111" t="inlineStr">
        <is>
          <t>exact</t>
        </is>
      </c>
      <c r="J111" t="inlineStr">
        <is>
          <t>Approved</t>
        </is>
      </c>
      <c r="K111" t="inlineStr"/>
      <c r="L111" t="inlineStr"/>
      <c r="M111" t="inlineStr">
        <is>
          <t>SHIE master-demographics survivorship workbook; Table 4/5/2 SQL; Table 4 language detail → BCP 47</t>
        </is>
      </c>
    </row>
    <row r="112">
      <c r="A112" t="inlineStr">
        <is>
          <t>county_master</t>
        </is>
      </c>
      <c r="B112" t="inlineStr">
        <is>
          <t>Language</t>
        </is>
      </c>
      <c r="C112" t="inlineStr">
        <is>
          <t>Laotian</t>
        </is>
      </c>
      <c r="D112" t="inlineStr">
        <is>
          <t>Laotian</t>
        </is>
      </c>
      <c r="E112" t="inlineStr">
        <is>
          <t>Patient.language</t>
        </is>
      </c>
      <c r="F112" t="inlineStr">
        <is>
          <t>urn:ietf:bcp:47</t>
        </is>
      </c>
      <c r="G112" t="inlineStr">
        <is>
          <t>lo</t>
        </is>
      </c>
      <c r="H112" t="inlineStr">
        <is>
          <t>Laotian</t>
        </is>
      </c>
      <c r="I112" t="inlineStr">
        <is>
          <t>exact</t>
        </is>
      </c>
      <c r="J112" t="inlineStr">
        <is>
          <t>Approved</t>
        </is>
      </c>
      <c r="K112" t="inlineStr"/>
      <c r="L112" t="inlineStr"/>
      <c r="M112" t="inlineStr">
        <is>
          <t>SHIE master-demographics survivorship workbook; Table 4/5/2 SQL; Table 4 language detail → BCP 47</t>
        </is>
      </c>
    </row>
    <row r="113">
      <c r="A113" t="inlineStr">
        <is>
          <t>county_master</t>
        </is>
      </c>
      <c r="B113" t="inlineStr">
        <is>
          <t>Language</t>
        </is>
      </c>
      <c r="C113" t="inlineStr">
        <is>
          <t>Latin</t>
        </is>
      </c>
      <c r="D113" t="inlineStr">
        <is>
          <t>Latin</t>
        </is>
      </c>
      <c r="E113" t="inlineStr">
        <is>
          <t>Patient.language</t>
        </is>
      </c>
      <c r="F113" t="inlineStr">
        <is>
          <t>urn:ietf:bcp:47</t>
        </is>
      </c>
      <c r="G113" t="inlineStr">
        <is>
          <t>la</t>
        </is>
      </c>
      <c r="H113" t="inlineStr">
        <is>
          <t>Latin</t>
        </is>
      </c>
      <c r="I113" t="inlineStr">
        <is>
          <t>exact</t>
        </is>
      </c>
      <c r="J113" t="inlineStr">
        <is>
          <t>Approved</t>
        </is>
      </c>
      <c r="K113" t="inlineStr"/>
      <c r="L113" t="inlineStr"/>
      <c r="M113" t="inlineStr">
        <is>
          <t>SHIE master-demographics survivorship workbook; Table 4/5/2 SQL; Table 4 language detail → BCP 47</t>
        </is>
      </c>
    </row>
    <row r="114">
      <c r="A114" t="inlineStr">
        <is>
          <t>county_master</t>
        </is>
      </c>
      <c r="B114" t="inlineStr">
        <is>
          <t>Language</t>
        </is>
      </c>
      <c r="C114" t="inlineStr">
        <is>
          <t>Lingala</t>
        </is>
      </c>
      <c r="D114" t="inlineStr">
        <is>
          <t>Lingala</t>
        </is>
      </c>
      <c r="E114" t="inlineStr">
        <is>
          <t>Patient.language</t>
        </is>
      </c>
      <c r="F114" t="inlineStr">
        <is>
          <t>urn:ietf:bcp:47</t>
        </is>
      </c>
      <c r="G114" t="inlineStr">
        <is>
          <t>ln</t>
        </is>
      </c>
      <c r="H114" t="inlineStr">
        <is>
          <t>Lingala</t>
        </is>
      </c>
      <c r="I114" t="inlineStr">
        <is>
          <t>exact</t>
        </is>
      </c>
      <c r="J114" t="inlineStr">
        <is>
          <t>Approved</t>
        </is>
      </c>
      <c r="K114" t="inlineStr"/>
      <c r="L114" t="inlineStr"/>
      <c r="M114" t="inlineStr">
        <is>
          <t>SHIE master-demographics survivorship workbook; Table 4/5/2 SQL; Table 4 language detail → BCP 47</t>
        </is>
      </c>
    </row>
    <row r="115">
      <c r="A115" t="inlineStr">
        <is>
          <t>county_master</t>
        </is>
      </c>
      <c r="B115" t="inlineStr">
        <is>
          <t>Language</t>
        </is>
      </c>
      <c r="C115" t="inlineStr">
        <is>
          <t>Lithuanian</t>
        </is>
      </c>
      <c r="D115" t="inlineStr">
        <is>
          <t>Lithuanian</t>
        </is>
      </c>
      <c r="E115" t="inlineStr">
        <is>
          <t>Patient.language</t>
        </is>
      </c>
      <c r="F115" t="inlineStr">
        <is>
          <t>urn:ietf:bcp:47</t>
        </is>
      </c>
      <c r="G115" t="inlineStr">
        <is>
          <t>lt</t>
        </is>
      </c>
      <c r="H115" t="inlineStr">
        <is>
          <t>Lithuanian</t>
        </is>
      </c>
      <c r="I115" t="inlineStr">
        <is>
          <t>exact</t>
        </is>
      </c>
      <c r="J115" t="inlineStr">
        <is>
          <t>Approved</t>
        </is>
      </c>
      <c r="K115" t="inlineStr"/>
      <c r="L115" t="inlineStr"/>
      <c r="M115" t="inlineStr">
        <is>
          <t>SHIE master-demographics survivorship workbook; Table 4/5/2 SQL; Table 4 language detail → BCP 47</t>
        </is>
      </c>
    </row>
    <row r="116">
      <c r="A116" t="inlineStr">
        <is>
          <t>county_master</t>
        </is>
      </c>
      <c r="B116" t="inlineStr">
        <is>
          <t>Language</t>
        </is>
      </c>
      <c r="C116" t="inlineStr">
        <is>
          <t>Macedonian</t>
        </is>
      </c>
      <c r="D116" t="inlineStr">
        <is>
          <t>Macedonian</t>
        </is>
      </c>
      <c r="E116" t="inlineStr">
        <is>
          <t>Patient.language</t>
        </is>
      </c>
      <c r="F116" t="inlineStr">
        <is>
          <t>urn:ietf:bcp:47</t>
        </is>
      </c>
      <c r="G116" t="inlineStr">
        <is>
          <t>mk</t>
        </is>
      </c>
      <c r="H116" t="inlineStr">
        <is>
          <t>Macedonian</t>
        </is>
      </c>
      <c r="I116" t="inlineStr">
        <is>
          <t>exact</t>
        </is>
      </c>
      <c r="J116" t="inlineStr">
        <is>
          <t>Approved</t>
        </is>
      </c>
      <c r="K116" t="inlineStr"/>
      <c r="L116" t="inlineStr"/>
      <c r="M116" t="inlineStr">
        <is>
          <t>SHIE master-demographics survivorship workbook; Table 4/5/2 SQL; Table 4 language detail → BCP 47</t>
        </is>
      </c>
    </row>
    <row r="117">
      <c r="A117" t="inlineStr">
        <is>
          <t>county_master</t>
        </is>
      </c>
      <c r="B117" t="inlineStr">
        <is>
          <t>Language</t>
        </is>
      </c>
      <c r="C117" t="inlineStr">
        <is>
          <t>Malay</t>
        </is>
      </c>
      <c r="D117" t="inlineStr">
        <is>
          <t>Malay</t>
        </is>
      </c>
      <c r="E117" t="inlineStr">
        <is>
          <t>Patient.language</t>
        </is>
      </c>
      <c r="F117" t="inlineStr">
        <is>
          <t>urn:ietf:bcp:47</t>
        </is>
      </c>
      <c r="G117" t="inlineStr">
        <is>
          <t>ms</t>
        </is>
      </c>
      <c r="H117" t="inlineStr">
        <is>
          <t>Malay</t>
        </is>
      </c>
      <c r="I117" t="inlineStr">
        <is>
          <t>exact</t>
        </is>
      </c>
      <c r="J117" t="inlineStr">
        <is>
          <t>Approved</t>
        </is>
      </c>
      <c r="K117" t="inlineStr"/>
      <c r="L117" t="inlineStr"/>
      <c r="M117" t="inlineStr">
        <is>
          <t>SHIE master-demographics survivorship workbook; Table 4/5/2 SQL; Table 4 language detail → BCP 47</t>
        </is>
      </c>
    </row>
    <row r="118">
      <c r="A118" t="inlineStr">
        <is>
          <t>county_master</t>
        </is>
      </c>
      <c r="B118" t="inlineStr">
        <is>
          <t>Language</t>
        </is>
      </c>
      <c r="C118" t="inlineStr">
        <is>
          <t>Malayalam</t>
        </is>
      </c>
      <c r="D118" t="inlineStr">
        <is>
          <t>Malayalam</t>
        </is>
      </c>
      <c r="E118" t="inlineStr">
        <is>
          <t>Patient.language</t>
        </is>
      </c>
      <c r="F118" t="inlineStr">
        <is>
          <t>urn:ietf:bcp:47</t>
        </is>
      </c>
      <c r="G118" t="inlineStr">
        <is>
          <t>ml</t>
        </is>
      </c>
      <c r="H118" t="inlineStr">
        <is>
          <t>Malayalam</t>
        </is>
      </c>
      <c r="I118" t="inlineStr">
        <is>
          <t>exact</t>
        </is>
      </c>
      <c r="J118" t="inlineStr">
        <is>
          <t>Approved</t>
        </is>
      </c>
      <c r="K118" t="inlineStr"/>
      <c r="L118" t="inlineStr"/>
      <c r="M118" t="inlineStr">
        <is>
          <t>SHIE master-demographics survivorship workbook; Table 4/5/2 SQL; Table 4 language detail → BCP 47</t>
        </is>
      </c>
    </row>
    <row r="119">
      <c r="A119" t="inlineStr">
        <is>
          <t>county_master</t>
        </is>
      </c>
      <c r="B119" t="inlineStr">
        <is>
          <t>Language</t>
        </is>
      </c>
      <c r="C119" t="inlineStr">
        <is>
          <t>Mam</t>
        </is>
      </c>
      <c r="D119" t="inlineStr">
        <is>
          <t>Mam</t>
        </is>
      </c>
      <c r="E119" t="inlineStr">
        <is>
          <t>Patient.language</t>
        </is>
      </c>
      <c r="F119" t="inlineStr">
        <is>
          <t>urn:ietf:bcp:47</t>
        </is>
      </c>
      <c r="G119" t="inlineStr">
        <is>
          <t>mam</t>
        </is>
      </c>
      <c r="H119" t="inlineStr">
        <is>
          <t>Mam</t>
        </is>
      </c>
      <c r="I119" t="inlineStr">
        <is>
          <t>exact</t>
        </is>
      </c>
      <c r="J119" t="inlineStr">
        <is>
          <t>Approved</t>
        </is>
      </c>
      <c r="K119" t="inlineStr"/>
      <c r="L119" t="inlineStr"/>
      <c r="M119" t="inlineStr">
        <is>
          <t>SHIE master-demographics survivorship workbook; Table 4/5/2 SQL; Table 4 language detail → BCP 47</t>
        </is>
      </c>
    </row>
    <row r="120">
      <c r="A120" t="inlineStr">
        <is>
          <t>county_master</t>
        </is>
      </c>
      <c r="B120" t="inlineStr">
        <is>
          <t>Language</t>
        </is>
      </c>
      <c r="C120" t="inlineStr">
        <is>
          <t>Mandingo</t>
        </is>
      </c>
      <c r="D120" t="inlineStr">
        <is>
          <t>Mandingo</t>
        </is>
      </c>
      <c r="E120" t="inlineStr">
        <is>
          <t>Patient.language</t>
        </is>
      </c>
      <c r="F120" t="inlineStr">
        <is>
          <t>urn:ietf:bcp:47</t>
        </is>
      </c>
      <c r="G120" t="inlineStr">
        <is>
          <t>mnk</t>
        </is>
      </c>
      <c r="H120" t="inlineStr">
        <is>
          <t>Mandingo</t>
        </is>
      </c>
      <c r="I120" t="inlineStr">
        <is>
          <t>exact</t>
        </is>
      </c>
      <c r="J120" t="inlineStr">
        <is>
          <t>Approved</t>
        </is>
      </c>
      <c r="K120" t="inlineStr"/>
      <c r="L120" t="inlineStr"/>
      <c r="M120" t="inlineStr">
        <is>
          <t>SHIE master-demographics survivorship workbook; Table 4/5/2 SQL; Table 4 language detail → BCP 47</t>
        </is>
      </c>
    </row>
    <row r="121">
      <c r="A121" t="inlineStr">
        <is>
          <t>county_master</t>
        </is>
      </c>
      <c r="B121" t="inlineStr">
        <is>
          <t>Language</t>
        </is>
      </c>
      <c r="C121" t="inlineStr">
        <is>
          <t>Mandarin</t>
        </is>
      </c>
      <c r="D121" t="inlineStr">
        <is>
          <t>Mandarin</t>
        </is>
      </c>
      <c r="E121" t="inlineStr">
        <is>
          <t>Patient.language</t>
        </is>
      </c>
      <c r="F121" t="inlineStr">
        <is>
          <t>urn:ietf:bcp:47</t>
        </is>
      </c>
      <c r="G121" t="inlineStr">
        <is>
          <t>cmn</t>
        </is>
      </c>
      <c r="H121" t="inlineStr">
        <is>
          <t>Mandarin</t>
        </is>
      </c>
      <c r="I121" t="inlineStr">
        <is>
          <t>exact</t>
        </is>
      </c>
      <c r="J121" t="inlineStr">
        <is>
          <t>Approved</t>
        </is>
      </c>
      <c r="K121" t="inlineStr"/>
      <c r="L121" t="inlineStr"/>
      <c r="M121" t="inlineStr">
        <is>
          <t>SHIE master-demographics survivorship workbook; Table 4/5/2 SQL; Table 4 language detail → BCP 47</t>
        </is>
      </c>
    </row>
    <row r="122">
      <c r="A122" t="inlineStr">
        <is>
          <t>county_master</t>
        </is>
      </c>
      <c r="B122" t="inlineStr">
        <is>
          <t>Language</t>
        </is>
      </c>
      <c r="C122" t="inlineStr">
        <is>
          <t>Mien</t>
        </is>
      </c>
      <c r="D122" t="inlineStr">
        <is>
          <t>Mien</t>
        </is>
      </c>
      <c r="E122" t="inlineStr">
        <is>
          <t>Patient.language</t>
        </is>
      </c>
      <c r="F122" t="inlineStr">
        <is>
          <t>urn:ietf:bcp:47</t>
        </is>
      </c>
      <c r="G122" t="inlineStr">
        <is>
          <t>ium</t>
        </is>
      </c>
      <c r="H122" t="inlineStr">
        <is>
          <t>Mien</t>
        </is>
      </c>
      <c r="I122" t="inlineStr">
        <is>
          <t>exact</t>
        </is>
      </c>
      <c r="J122" t="inlineStr">
        <is>
          <t>Approved</t>
        </is>
      </c>
      <c r="K122" t="inlineStr"/>
      <c r="L122" t="inlineStr"/>
      <c r="M122" t="inlineStr">
        <is>
          <t>SHIE master-demographics survivorship workbook; Table 4/5/2 SQL; Table 4 language detail → BCP 47</t>
        </is>
      </c>
    </row>
    <row r="123">
      <c r="A123" t="inlineStr">
        <is>
          <t>county_master</t>
        </is>
      </c>
      <c r="B123" t="inlineStr">
        <is>
          <t>Language</t>
        </is>
      </c>
      <c r="C123" t="inlineStr">
        <is>
          <t>Mongolian</t>
        </is>
      </c>
      <c r="D123" t="inlineStr">
        <is>
          <t>Mongolian</t>
        </is>
      </c>
      <c r="E123" t="inlineStr">
        <is>
          <t>Patient.language</t>
        </is>
      </c>
      <c r="F123" t="inlineStr">
        <is>
          <t>urn:ietf:bcp:47</t>
        </is>
      </c>
      <c r="G123" t="inlineStr">
        <is>
          <t>mn</t>
        </is>
      </c>
      <c r="H123" t="inlineStr">
        <is>
          <t>Mongolian</t>
        </is>
      </c>
      <c r="I123" t="inlineStr">
        <is>
          <t>exact</t>
        </is>
      </c>
      <c r="J123" t="inlineStr">
        <is>
          <t>Approved</t>
        </is>
      </c>
      <c r="K123" t="inlineStr"/>
      <c r="L123" t="inlineStr"/>
      <c r="M123" t="inlineStr">
        <is>
          <t>SHIE master-demographics survivorship workbook; Table 4/5/2 SQL; Table 4 language detail → BCP 47</t>
        </is>
      </c>
    </row>
    <row r="124">
      <c r="A124" t="inlineStr">
        <is>
          <t>county_master</t>
        </is>
      </c>
      <c r="B124" t="inlineStr">
        <is>
          <t>Language</t>
        </is>
      </c>
      <c r="C124" t="inlineStr">
        <is>
          <t>Navajo; Navaho</t>
        </is>
      </c>
      <c r="D124" t="inlineStr">
        <is>
          <t>Navajo; Navaho</t>
        </is>
      </c>
      <c r="E124" t="inlineStr">
        <is>
          <t>Patient.language</t>
        </is>
      </c>
      <c r="F124" t="inlineStr">
        <is>
          <t>urn:ietf:bcp:47</t>
        </is>
      </c>
      <c r="G124" t="inlineStr">
        <is>
          <t>nv</t>
        </is>
      </c>
      <c r="H124" t="inlineStr">
        <is>
          <t>Navajo; Navaho</t>
        </is>
      </c>
      <c r="I124" t="inlineStr">
        <is>
          <t>exact</t>
        </is>
      </c>
      <c r="J124" t="inlineStr">
        <is>
          <t>Approved</t>
        </is>
      </c>
      <c r="K124" t="inlineStr"/>
      <c r="L124" t="inlineStr"/>
      <c r="M124" t="inlineStr">
        <is>
          <t>SHIE master-demographics survivorship workbook; Table 4/5/2 SQL; Table 4 language detail → BCP 47</t>
        </is>
      </c>
    </row>
    <row r="125">
      <c r="A125" t="inlineStr">
        <is>
          <t>county_master</t>
        </is>
      </c>
      <c r="B125" t="inlineStr">
        <is>
          <t>Language</t>
        </is>
      </c>
      <c r="C125" t="inlineStr">
        <is>
          <t>Nepali</t>
        </is>
      </c>
      <c r="D125" t="inlineStr">
        <is>
          <t>Nepali</t>
        </is>
      </c>
      <c r="E125" t="inlineStr">
        <is>
          <t>Patient.language</t>
        </is>
      </c>
      <c r="F125" t="inlineStr">
        <is>
          <t>urn:ietf:bcp:47</t>
        </is>
      </c>
      <c r="G125" t="inlineStr">
        <is>
          <t>ne</t>
        </is>
      </c>
      <c r="H125" t="inlineStr">
        <is>
          <t>Nepali</t>
        </is>
      </c>
      <c r="I125" t="inlineStr">
        <is>
          <t>exact</t>
        </is>
      </c>
      <c r="J125" t="inlineStr">
        <is>
          <t>Approved</t>
        </is>
      </c>
      <c r="K125" t="inlineStr"/>
      <c r="L125" t="inlineStr"/>
      <c r="M125" t="inlineStr">
        <is>
          <t>SHIE master-demographics survivorship workbook; Table 4/5/2 SQL; Table 4 language detail → BCP 47</t>
        </is>
      </c>
    </row>
    <row r="126">
      <c r="A126" t="inlineStr">
        <is>
          <t>county_master</t>
        </is>
      </c>
      <c r="B126" t="inlineStr">
        <is>
          <t>Language</t>
        </is>
      </c>
      <c r="C126" t="inlineStr">
        <is>
          <t>Oromo</t>
        </is>
      </c>
      <c r="D126" t="inlineStr">
        <is>
          <t>Oromo</t>
        </is>
      </c>
      <c r="E126" t="inlineStr">
        <is>
          <t>Patient.language</t>
        </is>
      </c>
      <c r="F126" t="inlineStr">
        <is>
          <t>urn:ietf:bcp:47</t>
        </is>
      </c>
      <c r="G126" t="inlineStr">
        <is>
          <t>om</t>
        </is>
      </c>
      <c r="H126" t="inlineStr">
        <is>
          <t>Oromo</t>
        </is>
      </c>
      <c r="I126" t="inlineStr">
        <is>
          <t>exact</t>
        </is>
      </c>
      <c r="J126" t="inlineStr">
        <is>
          <t>Approved</t>
        </is>
      </c>
      <c r="K126" t="inlineStr"/>
      <c r="L126" t="inlineStr"/>
      <c r="M126" t="inlineStr">
        <is>
          <t>SHIE master-demographics survivorship workbook; Table 4/5/2 SQL; Table 4 language detail → BCP 47</t>
        </is>
      </c>
    </row>
    <row r="127">
      <c r="A127" t="inlineStr">
        <is>
          <t>county_master</t>
        </is>
      </c>
      <c r="B127" t="inlineStr">
        <is>
          <t>Language</t>
        </is>
      </c>
      <c r="C127" t="inlineStr">
        <is>
          <t>Panjabi; Punjabi</t>
        </is>
      </c>
      <c r="D127" t="inlineStr">
        <is>
          <t>Panjabi; Punjabi</t>
        </is>
      </c>
      <c r="E127" t="inlineStr">
        <is>
          <t>Patient.language</t>
        </is>
      </c>
      <c r="F127" t="inlineStr">
        <is>
          <t>urn:ietf:bcp:47</t>
        </is>
      </c>
      <c r="G127" t="inlineStr">
        <is>
          <t>pa</t>
        </is>
      </c>
      <c r="H127" t="inlineStr">
        <is>
          <t>Panjabi; Punjabi</t>
        </is>
      </c>
      <c r="I127" t="inlineStr">
        <is>
          <t>exact</t>
        </is>
      </c>
      <c r="J127" t="inlineStr">
        <is>
          <t>Approved</t>
        </is>
      </c>
      <c r="K127" t="inlineStr"/>
      <c r="L127" t="inlineStr"/>
      <c r="M127" t="inlineStr">
        <is>
          <t>SHIE master-demographics survivorship workbook; Table 4/5/2 SQL; Table 4 language detail → BCP 47</t>
        </is>
      </c>
    </row>
    <row r="128">
      <c r="A128" t="inlineStr">
        <is>
          <t>county_master</t>
        </is>
      </c>
      <c r="B128" t="inlineStr">
        <is>
          <t>Language</t>
        </is>
      </c>
      <c r="C128" t="inlineStr">
        <is>
          <t>Persian</t>
        </is>
      </c>
      <c r="D128" t="inlineStr">
        <is>
          <t>Persian</t>
        </is>
      </c>
      <c r="E128" t="inlineStr">
        <is>
          <t>Patient.language</t>
        </is>
      </c>
      <c r="F128" t="inlineStr">
        <is>
          <t>urn:ietf:bcp:47</t>
        </is>
      </c>
      <c r="G128" t="inlineStr">
        <is>
          <t>fa</t>
        </is>
      </c>
      <c r="H128" t="inlineStr">
        <is>
          <t>Persian</t>
        </is>
      </c>
      <c r="I128" t="inlineStr">
        <is>
          <t>exact</t>
        </is>
      </c>
      <c r="J128" t="inlineStr">
        <is>
          <t>Approved</t>
        </is>
      </c>
      <c r="K128" t="inlineStr"/>
      <c r="L128" t="inlineStr"/>
      <c r="M128" t="inlineStr">
        <is>
          <t>SHIE master-demographics survivorship workbook; Table 4/5/2 SQL; Table 4 language detail → BCP 47</t>
        </is>
      </c>
    </row>
    <row r="129">
      <c r="A129" t="inlineStr">
        <is>
          <t>county_master</t>
        </is>
      </c>
      <c r="B129" t="inlineStr">
        <is>
          <t>Language</t>
        </is>
      </c>
      <c r="C129" t="inlineStr">
        <is>
          <t>Philippine (Other)</t>
        </is>
      </c>
      <c r="D129" t="inlineStr">
        <is>
          <t>Philippine</t>
        </is>
      </c>
      <c r="E129" t="inlineStr">
        <is>
          <t>Patient.language</t>
        </is>
      </c>
      <c r="F129" t="inlineStr">
        <is>
          <t>urn:ietf:bcp:47</t>
        </is>
      </c>
      <c r="G129" t="inlineStr">
        <is>
          <t>phi</t>
        </is>
      </c>
      <c r="H129" t="inlineStr">
        <is>
          <t>Philippine</t>
        </is>
      </c>
      <c r="I129" t="inlineStr">
        <is>
          <t>exact</t>
        </is>
      </c>
      <c r="J129" t="inlineStr">
        <is>
          <t>Approved</t>
        </is>
      </c>
      <c r="K129" t="inlineStr"/>
      <c r="L129" t="inlineStr"/>
      <c r="M129" t="inlineStr">
        <is>
          <t>SHIE master-demographics survivorship workbook; Table 4/5/2 SQL; Table 4 language detail → BCP 47</t>
        </is>
      </c>
    </row>
    <row r="130">
      <c r="A130" t="inlineStr">
        <is>
          <t>county_master</t>
        </is>
      </c>
      <c r="B130" t="inlineStr">
        <is>
          <t>Language</t>
        </is>
      </c>
      <c r="C130" t="inlineStr">
        <is>
          <t>Polish</t>
        </is>
      </c>
      <c r="D130" t="inlineStr">
        <is>
          <t>Polish</t>
        </is>
      </c>
      <c r="E130" t="inlineStr">
        <is>
          <t>Patient.language</t>
        </is>
      </c>
      <c r="F130" t="inlineStr">
        <is>
          <t>urn:ietf:bcp:47</t>
        </is>
      </c>
      <c r="G130" t="inlineStr">
        <is>
          <t>pl</t>
        </is>
      </c>
      <c r="H130" t="inlineStr">
        <is>
          <t>Polish</t>
        </is>
      </c>
      <c r="I130" t="inlineStr">
        <is>
          <t>exact</t>
        </is>
      </c>
      <c r="J130" t="inlineStr">
        <is>
          <t>Approved</t>
        </is>
      </c>
      <c r="K130" t="inlineStr"/>
      <c r="L130" t="inlineStr"/>
      <c r="M130" t="inlineStr">
        <is>
          <t>SHIE master-demographics survivorship workbook; Table 4/5/2 SQL; Table 4 language detail → BCP 47</t>
        </is>
      </c>
    </row>
    <row r="131">
      <c r="A131" t="inlineStr">
        <is>
          <t>county_master</t>
        </is>
      </c>
      <c r="B131" t="inlineStr">
        <is>
          <t>Language</t>
        </is>
      </c>
      <c r="C131" t="inlineStr">
        <is>
          <t>Portuguese</t>
        </is>
      </c>
      <c r="D131" t="inlineStr">
        <is>
          <t>Portuguese</t>
        </is>
      </c>
      <c r="E131" t="inlineStr">
        <is>
          <t>Patient.language</t>
        </is>
      </c>
      <c r="F131" t="inlineStr">
        <is>
          <t>urn:ietf:bcp:47</t>
        </is>
      </c>
      <c r="G131" t="inlineStr">
        <is>
          <t>pt</t>
        </is>
      </c>
      <c r="H131" t="inlineStr">
        <is>
          <t>Portuguese</t>
        </is>
      </c>
      <c r="I131" t="inlineStr">
        <is>
          <t>exact</t>
        </is>
      </c>
      <c r="J131" t="inlineStr">
        <is>
          <t>Approved</t>
        </is>
      </c>
      <c r="K131" t="inlineStr"/>
      <c r="L131" t="inlineStr"/>
      <c r="M131" t="inlineStr">
        <is>
          <t>SHIE master-demographics survivorship workbook; Table 4/5/2 SQL; Table 4 language detail → BCP 47</t>
        </is>
      </c>
    </row>
    <row r="132">
      <c r="A132" t="inlineStr">
        <is>
          <t>county_master</t>
        </is>
      </c>
      <c r="B132" t="inlineStr">
        <is>
          <t>Language</t>
        </is>
      </c>
      <c r="C132" t="inlineStr">
        <is>
          <t>Pushto; Pashto</t>
        </is>
      </c>
      <c r="D132" t="inlineStr">
        <is>
          <t>Pushto; Pashto</t>
        </is>
      </c>
      <c r="E132" t="inlineStr">
        <is>
          <t>Patient.language</t>
        </is>
      </c>
      <c r="F132" t="inlineStr">
        <is>
          <t>urn:ietf:bcp:47</t>
        </is>
      </c>
      <c r="G132" t="inlineStr">
        <is>
          <t>ps</t>
        </is>
      </c>
      <c r="H132" t="inlineStr">
        <is>
          <t>Pushto; Pashto</t>
        </is>
      </c>
      <c r="I132" t="inlineStr">
        <is>
          <t>exact</t>
        </is>
      </c>
      <c r="J132" t="inlineStr">
        <is>
          <t>Approved</t>
        </is>
      </c>
      <c r="K132" t="inlineStr"/>
      <c r="L132" t="inlineStr"/>
      <c r="M132" t="inlineStr">
        <is>
          <t>SHIE master-demographics survivorship workbook; Table 4/5/2 SQL; Table 4 language detail → BCP 47</t>
        </is>
      </c>
    </row>
    <row r="133">
      <c r="A133" t="inlineStr">
        <is>
          <t>county_master</t>
        </is>
      </c>
      <c r="B133" t="inlineStr">
        <is>
          <t>Language</t>
        </is>
      </c>
      <c r="C133" t="inlineStr">
        <is>
          <t>Quechua</t>
        </is>
      </c>
      <c r="D133" t="inlineStr">
        <is>
          <t>Quechua</t>
        </is>
      </c>
      <c r="E133" t="inlineStr">
        <is>
          <t>Patient.language</t>
        </is>
      </c>
      <c r="F133" t="inlineStr">
        <is>
          <t>urn:ietf:bcp:47</t>
        </is>
      </c>
      <c r="G133" t="inlineStr">
        <is>
          <t>qu</t>
        </is>
      </c>
      <c r="H133" t="inlineStr">
        <is>
          <t>Quechua</t>
        </is>
      </c>
      <c r="I133" t="inlineStr">
        <is>
          <t>exact</t>
        </is>
      </c>
      <c r="J133" t="inlineStr">
        <is>
          <t>Approved</t>
        </is>
      </c>
      <c r="K133" t="inlineStr"/>
      <c r="L133" t="inlineStr"/>
      <c r="M133" t="inlineStr">
        <is>
          <t>SHIE master-demographics survivorship workbook; Table 4/5/2 SQL; Table 4 language detail → BCP 47</t>
        </is>
      </c>
    </row>
    <row r="134">
      <c r="A134" t="inlineStr">
        <is>
          <t>county_master</t>
        </is>
      </c>
      <c r="B134" t="inlineStr">
        <is>
          <t>Language</t>
        </is>
      </c>
      <c r="C134" t="inlineStr">
        <is>
          <t>Romani</t>
        </is>
      </c>
      <c r="D134" t="inlineStr">
        <is>
          <t>Romani</t>
        </is>
      </c>
      <c r="E134" t="inlineStr">
        <is>
          <t>Patient.language</t>
        </is>
      </c>
      <c r="F134" t="inlineStr">
        <is>
          <t>urn:ietf:bcp:47</t>
        </is>
      </c>
      <c r="G134" t="inlineStr">
        <is>
          <t>rom</t>
        </is>
      </c>
      <c r="H134" t="inlineStr">
        <is>
          <t>Romani</t>
        </is>
      </c>
      <c r="I134" t="inlineStr">
        <is>
          <t>exact</t>
        </is>
      </c>
      <c r="J134" t="inlineStr">
        <is>
          <t>Approved</t>
        </is>
      </c>
      <c r="K134" t="inlineStr"/>
      <c r="L134" t="inlineStr"/>
      <c r="M134" t="inlineStr">
        <is>
          <t>SHIE master-demographics survivorship workbook; Table 4/5/2 SQL; Table 4 language detail → BCP 47</t>
        </is>
      </c>
    </row>
    <row r="135">
      <c r="A135" t="inlineStr">
        <is>
          <t>county_master</t>
        </is>
      </c>
      <c r="B135" t="inlineStr">
        <is>
          <t>Language</t>
        </is>
      </c>
      <c r="C135" t="inlineStr">
        <is>
          <t>Romanian; Moldavian; Moldovan</t>
        </is>
      </c>
      <c r="D135" t="inlineStr">
        <is>
          <t>Romanian; Moldavian; Moldovan</t>
        </is>
      </c>
      <c r="E135" t="inlineStr">
        <is>
          <t>Patient.language</t>
        </is>
      </c>
      <c r="F135" t="inlineStr">
        <is>
          <t>urn:ietf:bcp:47</t>
        </is>
      </c>
      <c r="G135" t="inlineStr">
        <is>
          <t>ro</t>
        </is>
      </c>
      <c r="H135" t="inlineStr">
        <is>
          <t>Romanian; Moldavian; Moldovan</t>
        </is>
      </c>
      <c r="I135" t="inlineStr">
        <is>
          <t>exact</t>
        </is>
      </c>
      <c r="J135" t="inlineStr">
        <is>
          <t>Approved</t>
        </is>
      </c>
      <c r="K135" t="inlineStr"/>
      <c r="L135" t="inlineStr"/>
      <c r="M135" t="inlineStr">
        <is>
          <t>SHIE master-demographics survivorship workbook; Table 4/5/2 SQL; Table 4 language detail → BCP 47</t>
        </is>
      </c>
    </row>
    <row r="136">
      <c r="A136" t="inlineStr">
        <is>
          <t>county_master</t>
        </is>
      </c>
      <c r="B136" t="inlineStr">
        <is>
          <t>Language</t>
        </is>
      </c>
      <c r="C136" t="inlineStr">
        <is>
          <t>Russian</t>
        </is>
      </c>
      <c r="D136" t="inlineStr">
        <is>
          <t>Russian</t>
        </is>
      </c>
      <c r="E136" t="inlineStr">
        <is>
          <t>Patient.language</t>
        </is>
      </c>
      <c r="F136" t="inlineStr">
        <is>
          <t>urn:ietf:bcp:47</t>
        </is>
      </c>
      <c r="G136" t="inlineStr">
        <is>
          <t>ru</t>
        </is>
      </c>
      <c r="H136" t="inlineStr">
        <is>
          <t>Russian</t>
        </is>
      </c>
      <c r="I136" t="inlineStr">
        <is>
          <t>exact</t>
        </is>
      </c>
      <c r="J136" t="inlineStr">
        <is>
          <t>Approved</t>
        </is>
      </c>
      <c r="K136" t="inlineStr"/>
      <c r="L136" t="inlineStr"/>
      <c r="M136" t="inlineStr">
        <is>
          <t>SHIE master-demographics survivorship workbook; Table 4/5/2 SQL; Table 4 language detail → BCP 47</t>
        </is>
      </c>
    </row>
    <row r="137">
      <c r="A137" t="inlineStr">
        <is>
          <t>county_master</t>
        </is>
      </c>
      <c r="B137" t="inlineStr">
        <is>
          <t>Language</t>
        </is>
      </c>
      <c r="C137" t="inlineStr">
        <is>
          <t>rus</t>
        </is>
      </c>
      <c r="D137" t="inlineStr">
        <is>
          <t>Russian</t>
        </is>
      </c>
      <c r="E137" t="inlineStr">
        <is>
          <t>Patient.language</t>
        </is>
      </c>
      <c r="F137" t="inlineStr">
        <is>
          <t>urn:ietf:bcp:47</t>
        </is>
      </c>
      <c r="G137" t="inlineStr">
        <is>
          <t>ru</t>
        </is>
      </c>
      <c r="H137" t="inlineStr">
        <is>
          <t>Russian</t>
        </is>
      </c>
      <c r="I137" t="inlineStr">
        <is>
          <t>exact</t>
        </is>
      </c>
      <c r="J137" t="inlineStr">
        <is>
          <t>Approved</t>
        </is>
      </c>
      <c r="K137" t="inlineStr"/>
      <c r="L137" t="inlineStr"/>
      <c r="M137" t="inlineStr">
        <is>
          <t>SHIE master-demographics survivorship workbook; Table 4/5/2 SQL; Table 4 language detail → BCP 47</t>
        </is>
      </c>
    </row>
    <row r="138">
      <c r="A138" t="inlineStr">
        <is>
          <t>county_master</t>
        </is>
      </c>
      <c r="B138" t="inlineStr">
        <is>
          <t>Language</t>
        </is>
      </c>
      <c r="C138" t="inlineStr">
        <is>
          <t>Samoan</t>
        </is>
      </c>
      <c r="D138" t="inlineStr">
        <is>
          <t>Samoan</t>
        </is>
      </c>
      <c r="E138" t="inlineStr">
        <is>
          <t>Patient.language</t>
        </is>
      </c>
      <c r="F138" t="inlineStr">
        <is>
          <t>urn:ietf:bcp:47</t>
        </is>
      </c>
      <c r="G138" t="inlineStr">
        <is>
          <t>sm</t>
        </is>
      </c>
      <c r="H138" t="inlineStr">
        <is>
          <t>Samoan</t>
        </is>
      </c>
      <c r="I138" t="inlineStr">
        <is>
          <t>exact</t>
        </is>
      </c>
      <c r="J138" t="inlineStr">
        <is>
          <t>Approved</t>
        </is>
      </c>
      <c r="K138" t="inlineStr"/>
      <c r="L138" t="inlineStr"/>
      <c r="M138" t="inlineStr">
        <is>
          <t>SHIE master-demographics survivorship workbook; Table 4/5/2 SQL; Table 4 language detail → BCP 47</t>
        </is>
      </c>
    </row>
    <row r="139">
      <c r="A139" t="inlineStr">
        <is>
          <t>county_master</t>
        </is>
      </c>
      <c r="B139" t="inlineStr">
        <is>
          <t>Language</t>
        </is>
      </c>
      <c r="C139" t="inlineStr">
        <is>
          <t>Serbian</t>
        </is>
      </c>
      <c r="D139" t="inlineStr">
        <is>
          <t>Serbian</t>
        </is>
      </c>
      <c r="E139" t="inlineStr">
        <is>
          <t>Patient.language</t>
        </is>
      </c>
      <c r="F139" t="inlineStr">
        <is>
          <t>urn:ietf:bcp:47</t>
        </is>
      </c>
      <c r="G139" t="inlineStr">
        <is>
          <t>sr</t>
        </is>
      </c>
      <c r="H139" t="inlineStr">
        <is>
          <t>Serbian</t>
        </is>
      </c>
      <c r="I139" t="inlineStr">
        <is>
          <t>exact</t>
        </is>
      </c>
      <c r="J139" t="inlineStr">
        <is>
          <t>Approved</t>
        </is>
      </c>
      <c r="K139" t="inlineStr"/>
      <c r="L139" t="inlineStr"/>
      <c r="M139" t="inlineStr">
        <is>
          <t>SHIE master-demographics survivorship workbook; Table 4/5/2 SQL; Table 4 language detail → BCP 47</t>
        </is>
      </c>
    </row>
    <row r="140">
      <c r="A140" t="inlineStr">
        <is>
          <t>county_master</t>
        </is>
      </c>
      <c r="B140" t="inlineStr">
        <is>
          <t>Language</t>
        </is>
      </c>
      <c r="C140" t="inlineStr">
        <is>
          <t>Sign Language</t>
        </is>
      </c>
      <c r="D140" t="inlineStr">
        <is>
          <t>Sign Language</t>
        </is>
      </c>
      <c r="E140" t="inlineStr">
        <is>
          <t>Patient.language</t>
        </is>
      </c>
      <c r="F140" t="inlineStr">
        <is>
          <t>urn:ietf:bcp:47</t>
        </is>
      </c>
      <c r="G140" t="inlineStr">
        <is>
          <t>sgn</t>
        </is>
      </c>
      <c r="H140" t="inlineStr">
        <is>
          <t>Sign Language</t>
        </is>
      </c>
      <c r="I140" t="inlineStr">
        <is>
          <t>exact</t>
        </is>
      </c>
      <c r="J140" t="inlineStr">
        <is>
          <t>Approved</t>
        </is>
      </c>
      <c r="K140" t="inlineStr"/>
      <c r="L140" t="inlineStr"/>
      <c r="M140" t="inlineStr">
        <is>
          <t>SHIE master-demographics survivorship workbook; Table 4/5/2 SQL; Table 4 language detail → BCP 47</t>
        </is>
      </c>
    </row>
    <row r="141">
      <c r="A141" t="inlineStr">
        <is>
          <t>county_master</t>
        </is>
      </c>
      <c r="B141" t="inlineStr">
        <is>
          <t>Language</t>
        </is>
      </c>
      <c r="C141" t="inlineStr">
        <is>
          <t>sgn</t>
        </is>
      </c>
      <c r="D141" t="inlineStr">
        <is>
          <t>Sign Language</t>
        </is>
      </c>
      <c r="E141" t="inlineStr">
        <is>
          <t>Patient.language</t>
        </is>
      </c>
      <c r="F141" t="inlineStr">
        <is>
          <t>urn:ietf:bcp:47</t>
        </is>
      </c>
      <c r="G141" t="inlineStr">
        <is>
          <t>sgn</t>
        </is>
      </c>
      <c r="H141" t="inlineStr">
        <is>
          <t>Sign Language</t>
        </is>
      </c>
      <c r="I141" t="inlineStr">
        <is>
          <t>exact</t>
        </is>
      </c>
      <c r="J141" t="inlineStr">
        <is>
          <t>Approved</t>
        </is>
      </c>
      <c r="K141" t="inlineStr"/>
      <c r="L141" t="inlineStr"/>
      <c r="M141" t="inlineStr">
        <is>
          <t>SHIE master-demographics survivorship workbook; Table 4/5/2 SQL; Table 4 language detail → BCP 47</t>
        </is>
      </c>
    </row>
    <row r="142">
      <c r="A142" t="inlineStr">
        <is>
          <t>county_master</t>
        </is>
      </c>
      <c r="B142" t="inlineStr">
        <is>
          <t>Language</t>
        </is>
      </c>
      <c r="C142" t="inlineStr">
        <is>
          <t>Sinhala; Sinhalese</t>
        </is>
      </c>
      <c r="D142" t="inlineStr">
        <is>
          <t>Sinhala; Sinhalese</t>
        </is>
      </c>
      <c r="E142" t="inlineStr">
        <is>
          <t>Patient.language</t>
        </is>
      </c>
      <c r="F142" t="inlineStr">
        <is>
          <t>urn:ietf:bcp:47</t>
        </is>
      </c>
      <c r="G142" t="inlineStr">
        <is>
          <t>si</t>
        </is>
      </c>
      <c r="H142" t="inlineStr">
        <is>
          <t>Sinhala; Sinhalese</t>
        </is>
      </c>
      <c r="I142" t="inlineStr">
        <is>
          <t>exact</t>
        </is>
      </c>
      <c r="J142" t="inlineStr">
        <is>
          <t>Approved</t>
        </is>
      </c>
      <c r="K142" t="inlineStr"/>
      <c r="L142" t="inlineStr"/>
      <c r="M142" t="inlineStr">
        <is>
          <t>SHIE master-demographics survivorship workbook; Table 4/5/2 SQL; Table 4 language detail → BCP 47</t>
        </is>
      </c>
    </row>
    <row r="143">
      <c r="A143" t="inlineStr">
        <is>
          <t>county_master</t>
        </is>
      </c>
      <c r="B143" t="inlineStr">
        <is>
          <t>Language</t>
        </is>
      </c>
      <c r="C143" t="inlineStr">
        <is>
          <t>Slavic (Other)</t>
        </is>
      </c>
      <c r="D143" t="inlineStr">
        <is>
          <t>Slavic</t>
        </is>
      </c>
      <c r="E143" t="inlineStr">
        <is>
          <t>Patient.language</t>
        </is>
      </c>
      <c r="F143" t="inlineStr">
        <is>
          <t>urn:ietf:bcp:47</t>
        </is>
      </c>
      <c r="G143" t="inlineStr">
        <is>
          <t>sla</t>
        </is>
      </c>
      <c r="H143" t="inlineStr">
        <is>
          <t>Slavic</t>
        </is>
      </c>
      <c r="I143" t="inlineStr">
        <is>
          <t>exact</t>
        </is>
      </c>
      <c r="J143" t="inlineStr">
        <is>
          <t>Approved</t>
        </is>
      </c>
      <c r="K143" t="inlineStr"/>
      <c r="L143" t="inlineStr"/>
      <c r="M143" t="inlineStr">
        <is>
          <t>SHIE master-demographics survivorship workbook; Table 4/5/2 SQL; Table 4 language detail → BCP 47</t>
        </is>
      </c>
    </row>
    <row r="144">
      <c r="A144" t="inlineStr">
        <is>
          <t>county_master</t>
        </is>
      </c>
      <c r="B144" t="inlineStr">
        <is>
          <t>Language</t>
        </is>
      </c>
      <c r="C144" t="inlineStr">
        <is>
          <t>Somali</t>
        </is>
      </c>
      <c r="D144" t="inlineStr">
        <is>
          <t>Somali</t>
        </is>
      </c>
      <c r="E144" t="inlineStr">
        <is>
          <t>Patient.language</t>
        </is>
      </c>
      <c r="F144" t="inlineStr">
        <is>
          <t>urn:ietf:bcp:47</t>
        </is>
      </c>
      <c r="G144" t="inlineStr">
        <is>
          <t>so</t>
        </is>
      </c>
      <c r="H144" t="inlineStr">
        <is>
          <t>Somali</t>
        </is>
      </c>
      <c r="I144" t="inlineStr">
        <is>
          <t>exact</t>
        </is>
      </c>
      <c r="J144" t="inlineStr">
        <is>
          <t>Approved</t>
        </is>
      </c>
      <c r="K144" t="inlineStr"/>
      <c r="L144" t="inlineStr"/>
      <c r="M144" t="inlineStr">
        <is>
          <t>SHIE master-demographics survivorship workbook; Table 4/5/2 SQL; Table 4 language detail → BCP 47</t>
        </is>
      </c>
    </row>
    <row r="145">
      <c r="A145" t="inlineStr">
        <is>
          <t>county_master</t>
        </is>
      </c>
      <c r="B145" t="inlineStr">
        <is>
          <t>Language</t>
        </is>
      </c>
      <c r="C145" t="inlineStr">
        <is>
          <t>Spanish</t>
        </is>
      </c>
      <c r="D145" t="inlineStr">
        <is>
          <t>Spanish</t>
        </is>
      </c>
      <c r="E145" t="inlineStr">
        <is>
          <t>Patient.language</t>
        </is>
      </c>
      <c r="F145" t="inlineStr">
        <is>
          <t>urn:ietf:bcp:47</t>
        </is>
      </c>
      <c r="G145" t="inlineStr">
        <is>
          <t>es</t>
        </is>
      </c>
      <c r="H145" t="inlineStr">
        <is>
          <t>Spanish</t>
        </is>
      </c>
      <c r="I145" t="inlineStr">
        <is>
          <t>exact</t>
        </is>
      </c>
      <c r="J145" t="inlineStr">
        <is>
          <t>Approved</t>
        </is>
      </c>
      <c r="K145" t="inlineStr"/>
      <c r="L145" t="inlineStr"/>
      <c r="M145" t="inlineStr">
        <is>
          <t>SHIE master-demographics survivorship workbook; Table 4/5/2 SQL; Table 4 language detail → BCP 47</t>
        </is>
      </c>
    </row>
    <row r="146">
      <c r="A146" t="inlineStr">
        <is>
          <t>county_master</t>
        </is>
      </c>
      <c r="B146" t="inlineStr">
        <is>
          <t>Language</t>
        </is>
      </c>
      <c r="C146" t="inlineStr">
        <is>
          <t>spa</t>
        </is>
      </c>
      <c r="D146" t="inlineStr">
        <is>
          <t>Spanish</t>
        </is>
      </c>
      <c r="E146" t="inlineStr">
        <is>
          <t>Patient.language</t>
        </is>
      </c>
      <c r="F146" t="inlineStr">
        <is>
          <t>urn:ietf:bcp:47</t>
        </is>
      </c>
      <c r="G146" t="inlineStr">
        <is>
          <t>es</t>
        </is>
      </c>
      <c r="H146" t="inlineStr">
        <is>
          <t>Spanish</t>
        </is>
      </c>
      <c r="I146" t="inlineStr">
        <is>
          <t>exact</t>
        </is>
      </c>
      <c r="J146" t="inlineStr">
        <is>
          <t>Approved</t>
        </is>
      </c>
      <c r="K146" t="inlineStr"/>
      <c r="L146" t="inlineStr"/>
      <c r="M146" t="inlineStr">
        <is>
          <t>SHIE master-demographics survivorship workbook; Table 4/5/2 SQL; Table 4 language detail → BCP 47</t>
        </is>
      </c>
    </row>
    <row r="147">
      <c r="A147" t="inlineStr">
        <is>
          <t>county_master</t>
        </is>
      </c>
      <c r="B147" t="inlineStr">
        <is>
          <t>Language</t>
        </is>
      </c>
      <c r="C147" t="inlineStr">
        <is>
          <t>Sundanese</t>
        </is>
      </c>
      <c r="D147" t="inlineStr">
        <is>
          <t>Sundanese</t>
        </is>
      </c>
      <c r="E147" t="inlineStr">
        <is>
          <t>Patient.language</t>
        </is>
      </c>
      <c r="F147" t="inlineStr">
        <is>
          <t>urn:ietf:bcp:47</t>
        </is>
      </c>
      <c r="G147" t="inlineStr">
        <is>
          <t>su</t>
        </is>
      </c>
      <c r="H147" t="inlineStr">
        <is>
          <t>Sundanese</t>
        </is>
      </c>
      <c r="I147" t="inlineStr">
        <is>
          <t>exact</t>
        </is>
      </c>
      <c r="J147" t="inlineStr">
        <is>
          <t>Approved</t>
        </is>
      </c>
      <c r="K147" t="inlineStr"/>
      <c r="L147" t="inlineStr"/>
      <c r="M147" t="inlineStr">
        <is>
          <t>SHIE master-demographics survivorship workbook; Table 4/5/2 SQL; Table 4 language detail → BCP 47</t>
        </is>
      </c>
    </row>
    <row r="148">
      <c r="A148" t="inlineStr">
        <is>
          <t>county_master</t>
        </is>
      </c>
      <c r="B148" t="inlineStr">
        <is>
          <t>Language</t>
        </is>
      </c>
      <c r="C148" t="inlineStr">
        <is>
          <t>Swahili</t>
        </is>
      </c>
      <c r="D148" t="inlineStr">
        <is>
          <t>Swahili</t>
        </is>
      </c>
      <c r="E148" t="inlineStr">
        <is>
          <t>Patient.language</t>
        </is>
      </c>
      <c r="F148" t="inlineStr">
        <is>
          <t>urn:ietf:bcp:47</t>
        </is>
      </c>
      <c r="G148" t="inlineStr">
        <is>
          <t>sw</t>
        </is>
      </c>
      <c r="H148" t="inlineStr">
        <is>
          <t>Swahili</t>
        </is>
      </c>
      <c r="I148" t="inlineStr">
        <is>
          <t>exact</t>
        </is>
      </c>
      <c r="J148" t="inlineStr">
        <is>
          <t>Approved</t>
        </is>
      </c>
      <c r="K148" t="inlineStr"/>
      <c r="L148" t="inlineStr"/>
      <c r="M148" t="inlineStr">
        <is>
          <t>SHIE master-demographics survivorship workbook; Table 4/5/2 SQL; Table 4 language detail → BCP 47</t>
        </is>
      </c>
    </row>
    <row r="149">
      <c r="A149" t="inlineStr">
        <is>
          <t>county_master</t>
        </is>
      </c>
      <c r="B149" t="inlineStr">
        <is>
          <t>Language</t>
        </is>
      </c>
      <c r="C149" t="inlineStr">
        <is>
          <t>Swedish</t>
        </is>
      </c>
      <c r="D149" t="inlineStr">
        <is>
          <t>Swedish</t>
        </is>
      </c>
      <c r="E149" t="inlineStr">
        <is>
          <t>Patient.language</t>
        </is>
      </c>
      <c r="F149" t="inlineStr">
        <is>
          <t>urn:ietf:bcp:47</t>
        </is>
      </c>
      <c r="G149" t="inlineStr">
        <is>
          <t>sv</t>
        </is>
      </c>
      <c r="H149" t="inlineStr">
        <is>
          <t>Swedish</t>
        </is>
      </c>
      <c r="I149" t="inlineStr">
        <is>
          <t>exact</t>
        </is>
      </c>
      <c r="J149" t="inlineStr">
        <is>
          <t>Approved</t>
        </is>
      </c>
      <c r="K149" t="inlineStr"/>
      <c r="L149" t="inlineStr"/>
      <c r="M149" t="inlineStr">
        <is>
          <t>SHIE master-demographics survivorship workbook; Table 4/5/2 SQL; Table 4 language detail → BCP 47</t>
        </is>
      </c>
    </row>
    <row r="150">
      <c r="A150" t="inlineStr">
        <is>
          <t>county_master</t>
        </is>
      </c>
      <c r="B150" t="inlineStr">
        <is>
          <t>Language</t>
        </is>
      </c>
      <c r="C150" t="inlineStr">
        <is>
          <t>Tagalog</t>
        </is>
      </c>
      <c r="D150" t="inlineStr">
        <is>
          <t>Tagalog</t>
        </is>
      </c>
      <c r="E150" t="inlineStr">
        <is>
          <t>Patient.language</t>
        </is>
      </c>
      <c r="F150" t="inlineStr">
        <is>
          <t>urn:ietf:bcp:47</t>
        </is>
      </c>
      <c r="G150" t="inlineStr">
        <is>
          <t>tl</t>
        </is>
      </c>
      <c r="H150" t="inlineStr">
        <is>
          <t>Tagalog</t>
        </is>
      </c>
      <c r="I150" t="inlineStr">
        <is>
          <t>exact</t>
        </is>
      </c>
      <c r="J150" t="inlineStr">
        <is>
          <t>Approved</t>
        </is>
      </c>
      <c r="K150" t="inlineStr"/>
      <c r="L150" t="inlineStr"/>
      <c r="M150" t="inlineStr">
        <is>
          <t>SHIE master-demographics survivorship workbook; Table 4/5/2 SQL; Table 4 language detail → BCP 47</t>
        </is>
      </c>
    </row>
    <row r="151">
      <c r="A151" t="inlineStr">
        <is>
          <t>county_master</t>
        </is>
      </c>
      <c r="B151" t="inlineStr">
        <is>
          <t>Language</t>
        </is>
      </c>
      <c r="C151" t="inlineStr">
        <is>
          <t>tgl</t>
        </is>
      </c>
      <c r="D151" t="inlineStr">
        <is>
          <t>Tagalog</t>
        </is>
      </c>
      <c r="E151" t="inlineStr">
        <is>
          <t>Patient.language</t>
        </is>
      </c>
      <c r="F151" t="inlineStr">
        <is>
          <t>urn:ietf:bcp:47</t>
        </is>
      </c>
      <c r="G151" t="inlineStr">
        <is>
          <t>tl</t>
        </is>
      </c>
      <c r="H151" t="inlineStr">
        <is>
          <t>Tagalog</t>
        </is>
      </c>
      <c r="I151" t="inlineStr">
        <is>
          <t>exact</t>
        </is>
      </c>
      <c r="J151" t="inlineStr">
        <is>
          <t>Approved</t>
        </is>
      </c>
      <c r="K151" t="inlineStr"/>
      <c r="L151" t="inlineStr"/>
      <c r="M151" t="inlineStr">
        <is>
          <t>SHIE master-demographics survivorship workbook; Table 4/5/2 SQL; Table 4 language detail → BCP 47</t>
        </is>
      </c>
    </row>
    <row r="152">
      <c r="A152" t="inlineStr">
        <is>
          <t>county_master</t>
        </is>
      </c>
      <c r="B152" t="inlineStr">
        <is>
          <t>Language</t>
        </is>
      </c>
      <c r="C152" t="inlineStr">
        <is>
          <t>Tai (Other)</t>
        </is>
      </c>
      <c r="D152" t="inlineStr">
        <is>
          <t>Tai</t>
        </is>
      </c>
      <c r="E152" t="inlineStr">
        <is>
          <t>Patient.language</t>
        </is>
      </c>
      <c r="F152" t="inlineStr">
        <is>
          <t>urn:ietf:bcp:47</t>
        </is>
      </c>
      <c r="G152" t="inlineStr">
        <is>
          <t>tai</t>
        </is>
      </c>
      <c r="H152" t="inlineStr">
        <is>
          <t>Tai</t>
        </is>
      </c>
      <c r="I152" t="inlineStr">
        <is>
          <t>exact</t>
        </is>
      </c>
      <c r="J152" t="inlineStr">
        <is>
          <t>Approved</t>
        </is>
      </c>
      <c r="K152" t="inlineStr"/>
      <c r="L152" t="inlineStr"/>
      <c r="M152" t="inlineStr">
        <is>
          <t>SHIE master-demographics survivorship workbook; Table 4/5/2 SQL; Table 4 language detail → BCP 47</t>
        </is>
      </c>
    </row>
    <row r="153">
      <c r="A153" t="inlineStr">
        <is>
          <t>county_master</t>
        </is>
      </c>
      <c r="B153" t="inlineStr">
        <is>
          <t>Language</t>
        </is>
      </c>
      <c r="C153" t="inlineStr">
        <is>
          <t>Tamil</t>
        </is>
      </c>
      <c r="D153" t="inlineStr">
        <is>
          <t>Tamil</t>
        </is>
      </c>
      <c r="E153" t="inlineStr">
        <is>
          <t>Patient.language</t>
        </is>
      </c>
      <c r="F153" t="inlineStr">
        <is>
          <t>urn:ietf:bcp:47</t>
        </is>
      </c>
      <c r="G153" t="inlineStr">
        <is>
          <t>ta</t>
        </is>
      </c>
      <c r="H153" t="inlineStr">
        <is>
          <t>Tamil</t>
        </is>
      </c>
      <c r="I153" t="inlineStr">
        <is>
          <t>exact</t>
        </is>
      </c>
      <c r="J153" t="inlineStr">
        <is>
          <t>Approved</t>
        </is>
      </c>
      <c r="K153" t="inlineStr"/>
      <c r="L153" t="inlineStr"/>
      <c r="M153" t="inlineStr">
        <is>
          <t>SHIE master-demographics survivorship workbook; Table 4/5/2 SQL; Table 4 language detail → BCP 47</t>
        </is>
      </c>
    </row>
    <row r="154">
      <c r="A154" t="inlineStr">
        <is>
          <t>county_master</t>
        </is>
      </c>
      <c r="B154" t="inlineStr">
        <is>
          <t>Language</t>
        </is>
      </c>
      <c r="C154" t="inlineStr">
        <is>
          <t>Telugu</t>
        </is>
      </c>
      <c r="D154" t="inlineStr">
        <is>
          <t>Telugu</t>
        </is>
      </c>
      <c r="E154" t="inlineStr">
        <is>
          <t>Patient.language</t>
        </is>
      </c>
      <c r="F154" t="inlineStr">
        <is>
          <t>urn:ietf:bcp:47</t>
        </is>
      </c>
      <c r="G154" t="inlineStr">
        <is>
          <t>te</t>
        </is>
      </c>
      <c r="H154" t="inlineStr">
        <is>
          <t>Telugu</t>
        </is>
      </c>
      <c r="I154" t="inlineStr">
        <is>
          <t>exact</t>
        </is>
      </c>
      <c r="J154" t="inlineStr">
        <is>
          <t>Approved</t>
        </is>
      </c>
      <c r="K154" t="inlineStr"/>
      <c r="L154" t="inlineStr"/>
      <c r="M154" t="inlineStr">
        <is>
          <t>SHIE master-demographics survivorship workbook; Table 4/5/2 SQL; Table 4 language detail → BCP 47</t>
        </is>
      </c>
    </row>
    <row r="155">
      <c r="A155" t="inlineStr">
        <is>
          <t>county_master</t>
        </is>
      </c>
      <c r="B155" t="inlineStr">
        <is>
          <t>Language</t>
        </is>
      </c>
      <c r="C155" t="inlineStr">
        <is>
          <t>Thai</t>
        </is>
      </c>
      <c r="D155" t="inlineStr">
        <is>
          <t>Thai</t>
        </is>
      </c>
      <c r="E155" t="inlineStr">
        <is>
          <t>Patient.language</t>
        </is>
      </c>
      <c r="F155" t="inlineStr">
        <is>
          <t>urn:ietf:bcp:47</t>
        </is>
      </c>
      <c r="G155" t="inlineStr">
        <is>
          <t>th</t>
        </is>
      </c>
      <c r="H155" t="inlineStr">
        <is>
          <t>Thai</t>
        </is>
      </c>
      <c r="I155" t="inlineStr">
        <is>
          <t>exact</t>
        </is>
      </c>
      <c r="J155" t="inlineStr">
        <is>
          <t>Approved</t>
        </is>
      </c>
      <c r="K155" t="inlineStr"/>
      <c r="L155" t="inlineStr"/>
      <c r="M155" t="inlineStr">
        <is>
          <t>SHIE master-demographics survivorship workbook; Table 4/5/2 SQL; Table 4 language detail → BCP 47</t>
        </is>
      </c>
    </row>
    <row r="156">
      <c r="A156" t="inlineStr">
        <is>
          <t>county_master</t>
        </is>
      </c>
      <c r="B156" t="inlineStr">
        <is>
          <t>Language</t>
        </is>
      </c>
      <c r="C156" t="inlineStr">
        <is>
          <t>Tibetan</t>
        </is>
      </c>
      <c r="D156" t="inlineStr">
        <is>
          <t>Tibetan</t>
        </is>
      </c>
      <c r="E156" t="inlineStr">
        <is>
          <t>Patient.language</t>
        </is>
      </c>
      <c r="F156" t="inlineStr">
        <is>
          <t>urn:ietf:bcp:47</t>
        </is>
      </c>
      <c r="G156" t="inlineStr">
        <is>
          <t>bo</t>
        </is>
      </c>
      <c r="H156" t="inlineStr">
        <is>
          <t>Tibetan</t>
        </is>
      </c>
      <c r="I156" t="inlineStr">
        <is>
          <t>exact</t>
        </is>
      </c>
      <c r="J156" t="inlineStr">
        <is>
          <t>Approved</t>
        </is>
      </c>
      <c r="K156" t="inlineStr"/>
      <c r="L156" t="inlineStr"/>
      <c r="M156" t="inlineStr">
        <is>
          <t>SHIE master-demographics survivorship workbook; Table 4/5/2 SQL; Table 4 language detail → BCP 47</t>
        </is>
      </c>
    </row>
    <row r="157">
      <c r="A157" t="inlineStr">
        <is>
          <t>county_master</t>
        </is>
      </c>
      <c r="B157" t="inlineStr">
        <is>
          <t>Language</t>
        </is>
      </c>
      <c r="C157" t="inlineStr">
        <is>
          <t>Tigrigna</t>
        </is>
      </c>
      <c r="D157" t="inlineStr">
        <is>
          <t>Tigrigna</t>
        </is>
      </c>
      <c r="E157" t="inlineStr">
        <is>
          <t>Patient.language</t>
        </is>
      </c>
      <c r="F157" t="inlineStr">
        <is>
          <t>urn:ietf:bcp:47</t>
        </is>
      </c>
      <c r="G157" t="inlineStr">
        <is>
          <t>ti</t>
        </is>
      </c>
      <c r="H157" t="inlineStr">
        <is>
          <t>Tigrigna</t>
        </is>
      </c>
      <c r="I157" t="inlineStr">
        <is>
          <t>exact</t>
        </is>
      </c>
      <c r="J157" t="inlineStr">
        <is>
          <t>Approved</t>
        </is>
      </c>
      <c r="K157" t="inlineStr"/>
      <c r="L157" t="inlineStr"/>
      <c r="M157" t="inlineStr">
        <is>
          <t>SHIE master-demographics survivorship workbook; Table 4/5/2 SQL; Table 4 language detail → BCP 47</t>
        </is>
      </c>
    </row>
    <row r="158">
      <c r="A158" t="inlineStr">
        <is>
          <t>county_master</t>
        </is>
      </c>
      <c r="B158" t="inlineStr">
        <is>
          <t>Language</t>
        </is>
      </c>
      <c r="C158" t="inlineStr">
        <is>
          <t>Tigrinya</t>
        </is>
      </c>
      <c r="D158" t="inlineStr">
        <is>
          <t>Tigrigna</t>
        </is>
      </c>
      <c r="E158" t="inlineStr">
        <is>
          <t>Patient.language</t>
        </is>
      </c>
      <c r="F158" t="inlineStr">
        <is>
          <t>urn:ietf:bcp:47</t>
        </is>
      </c>
      <c r="G158" t="inlineStr">
        <is>
          <t>ti</t>
        </is>
      </c>
      <c r="H158" t="inlineStr">
        <is>
          <t>Tigrigna</t>
        </is>
      </c>
      <c r="I158" t="inlineStr">
        <is>
          <t>exact</t>
        </is>
      </c>
      <c r="J158" t="inlineStr">
        <is>
          <t>Approved</t>
        </is>
      </c>
      <c r="K158" t="inlineStr"/>
      <c r="L158" t="inlineStr"/>
      <c r="M158" t="inlineStr">
        <is>
          <t>SHIE master-demographics survivorship workbook; Table 4/5/2 SQL; Table 4 language detail → BCP 47</t>
        </is>
      </c>
    </row>
    <row r="159">
      <c r="A159" t="inlineStr">
        <is>
          <t>county_master</t>
        </is>
      </c>
      <c r="B159" t="inlineStr">
        <is>
          <t>Language</t>
        </is>
      </c>
      <c r="C159" t="inlineStr">
        <is>
          <t>tir</t>
        </is>
      </c>
      <c r="D159" t="inlineStr">
        <is>
          <t>Tigrigna</t>
        </is>
      </c>
      <c r="E159" t="inlineStr">
        <is>
          <t>Patient.language</t>
        </is>
      </c>
      <c r="F159" t="inlineStr">
        <is>
          <t>urn:ietf:bcp:47</t>
        </is>
      </c>
      <c r="G159" t="inlineStr">
        <is>
          <t>ti</t>
        </is>
      </c>
      <c r="H159" t="inlineStr">
        <is>
          <t>Tigrigna</t>
        </is>
      </c>
      <c r="I159" t="inlineStr">
        <is>
          <t>exact</t>
        </is>
      </c>
      <c r="J159" t="inlineStr">
        <is>
          <t>Approved</t>
        </is>
      </c>
      <c r="K159" t="inlineStr"/>
      <c r="L159" t="inlineStr"/>
      <c r="M159" t="inlineStr">
        <is>
          <t>SHIE master-demographics survivorship workbook; Table 4/5/2 SQL; Table 4 language detail → BCP 47</t>
        </is>
      </c>
    </row>
    <row r="160">
      <c r="A160" t="inlineStr">
        <is>
          <t>county_master</t>
        </is>
      </c>
      <c r="B160" t="inlineStr">
        <is>
          <t>Language</t>
        </is>
      </c>
      <c r="C160" t="inlineStr">
        <is>
          <t>Tonga (Nyasa)</t>
        </is>
      </c>
      <c r="D160" t="inlineStr">
        <is>
          <t>Tonga (Nyasa)</t>
        </is>
      </c>
      <c r="E160" t="inlineStr">
        <is>
          <t>Patient.language</t>
        </is>
      </c>
      <c r="F160" t="inlineStr">
        <is>
          <t>urn:ietf:bcp:47</t>
        </is>
      </c>
      <c r="G160" t="inlineStr">
        <is>
          <t>tog</t>
        </is>
      </c>
      <c r="H160" t="inlineStr">
        <is>
          <t>Tonga (Nyasa)</t>
        </is>
      </c>
      <c r="I160" t="inlineStr">
        <is>
          <t>exact</t>
        </is>
      </c>
      <c r="J160" t="inlineStr">
        <is>
          <t>Approved</t>
        </is>
      </c>
      <c r="K160" t="inlineStr"/>
      <c r="L160" t="inlineStr"/>
      <c r="M160" t="inlineStr">
        <is>
          <t>SHIE master-demographics survivorship workbook; Table 4/5/2 SQL; Table 4 language detail → BCP 47</t>
        </is>
      </c>
    </row>
    <row r="161">
      <c r="A161" t="inlineStr">
        <is>
          <t>county_master</t>
        </is>
      </c>
      <c r="B161" t="inlineStr">
        <is>
          <t>Language</t>
        </is>
      </c>
      <c r="C161" t="inlineStr">
        <is>
          <t>Tonga (Tonga Islands)</t>
        </is>
      </c>
      <c r="D161" t="inlineStr">
        <is>
          <t>Tonga (Tonga Islands)</t>
        </is>
      </c>
      <c r="E161" t="inlineStr">
        <is>
          <t>Patient.language</t>
        </is>
      </c>
      <c r="F161" t="inlineStr">
        <is>
          <t>urn:ietf:bcp:47</t>
        </is>
      </c>
      <c r="G161" t="inlineStr">
        <is>
          <t>to</t>
        </is>
      </c>
      <c r="H161" t="inlineStr">
        <is>
          <t>Tonga (Tonga Islands)</t>
        </is>
      </c>
      <c r="I161" t="inlineStr">
        <is>
          <t>exact</t>
        </is>
      </c>
      <c r="J161" t="inlineStr">
        <is>
          <t>Approved</t>
        </is>
      </c>
      <c r="K161" t="inlineStr"/>
      <c r="L161" t="inlineStr"/>
      <c r="M161" t="inlineStr">
        <is>
          <t>SHIE master-demographics survivorship workbook; Table 4/5/2 SQL; Table 4 language detail → BCP 47</t>
        </is>
      </c>
    </row>
    <row r="162">
      <c r="A162" t="inlineStr">
        <is>
          <t>county_master</t>
        </is>
      </c>
      <c r="B162" t="inlineStr">
        <is>
          <t>Language</t>
        </is>
      </c>
      <c r="C162" t="inlineStr">
        <is>
          <t>Turkish</t>
        </is>
      </c>
      <c r="D162" t="inlineStr">
        <is>
          <t>Turkish</t>
        </is>
      </c>
      <c r="E162" t="inlineStr">
        <is>
          <t>Patient.language</t>
        </is>
      </c>
      <c r="F162" t="inlineStr">
        <is>
          <t>urn:ietf:bcp:47</t>
        </is>
      </c>
      <c r="G162" t="inlineStr">
        <is>
          <t>tr</t>
        </is>
      </c>
      <c r="H162" t="inlineStr">
        <is>
          <t>Turkish</t>
        </is>
      </c>
      <c r="I162" t="inlineStr">
        <is>
          <t>exact</t>
        </is>
      </c>
      <c r="J162" t="inlineStr">
        <is>
          <t>Approved</t>
        </is>
      </c>
      <c r="K162" t="inlineStr"/>
      <c r="L162" t="inlineStr"/>
      <c r="M162" t="inlineStr">
        <is>
          <t>SHIE master-demographics survivorship workbook; Table 4/5/2 SQL; Table 4 language detail → BCP 47</t>
        </is>
      </c>
    </row>
    <row r="163">
      <c r="A163" t="inlineStr">
        <is>
          <t>county_master</t>
        </is>
      </c>
      <c r="B163" t="inlineStr">
        <is>
          <t>Language</t>
        </is>
      </c>
      <c r="C163" t="inlineStr">
        <is>
          <t>Twi</t>
        </is>
      </c>
      <c r="D163" t="inlineStr">
        <is>
          <t>Twi</t>
        </is>
      </c>
      <c r="E163" t="inlineStr">
        <is>
          <t>Patient.language</t>
        </is>
      </c>
      <c r="F163" t="inlineStr">
        <is>
          <t>urn:ietf:bcp:47</t>
        </is>
      </c>
      <c r="G163" t="inlineStr">
        <is>
          <t>tw</t>
        </is>
      </c>
      <c r="H163" t="inlineStr">
        <is>
          <t>Twi</t>
        </is>
      </c>
      <c r="I163" t="inlineStr">
        <is>
          <t>exact</t>
        </is>
      </c>
      <c r="J163" t="inlineStr">
        <is>
          <t>Approved</t>
        </is>
      </c>
      <c r="K163" t="inlineStr"/>
      <c r="L163" t="inlineStr"/>
      <c r="M163" t="inlineStr">
        <is>
          <t>SHIE master-demographics survivorship workbook; Table 4/5/2 SQL; Table 4 language detail → BCP 47</t>
        </is>
      </c>
    </row>
    <row r="164">
      <c r="A164" t="inlineStr">
        <is>
          <t>county_master</t>
        </is>
      </c>
      <c r="B164" t="inlineStr">
        <is>
          <t>Language</t>
        </is>
      </c>
      <c r="C164" t="inlineStr">
        <is>
          <t>Ukrainian</t>
        </is>
      </c>
      <c r="D164" t="inlineStr">
        <is>
          <t>Ukrainian</t>
        </is>
      </c>
      <c r="E164" t="inlineStr">
        <is>
          <t>Patient.language</t>
        </is>
      </c>
      <c r="F164" t="inlineStr">
        <is>
          <t>urn:ietf:bcp:47</t>
        </is>
      </c>
      <c r="G164" t="inlineStr">
        <is>
          <t>uk</t>
        </is>
      </c>
      <c r="H164" t="inlineStr">
        <is>
          <t>Ukrainian</t>
        </is>
      </c>
      <c r="I164" t="inlineStr">
        <is>
          <t>exact</t>
        </is>
      </c>
      <c r="J164" t="inlineStr">
        <is>
          <t>Approved</t>
        </is>
      </c>
      <c r="K164" t="inlineStr"/>
      <c r="L164" t="inlineStr"/>
      <c r="M164" t="inlineStr">
        <is>
          <t>SHIE master-demographics survivorship workbook; Table 4/5/2 SQL; Table 4 language detail → BCP 47</t>
        </is>
      </c>
    </row>
    <row r="165">
      <c r="A165" t="inlineStr">
        <is>
          <t>county_master</t>
        </is>
      </c>
      <c r="B165" t="inlineStr">
        <is>
          <t>Language</t>
        </is>
      </c>
      <c r="C165" t="inlineStr">
        <is>
          <t>Undetermined</t>
        </is>
      </c>
      <c r="D165" t="inlineStr">
        <is>
          <t>Undetermined</t>
        </is>
      </c>
      <c r="E165" t="inlineStr">
        <is>
          <t>Patient.language</t>
        </is>
      </c>
      <c r="F165" t="inlineStr">
        <is>
          <t>urn:ietf:bcp:47</t>
        </is>
      </c>
      <c r="G165" t="inlineStr"/>
      <c r="H165" t="inlineStr"/>
      <c r="I165" t="inlineStr">
        <is>
          <t>exclude</t>
        </is>
      </c>
      <c r="J165" t="inlineStr">
        <is>
          <t>Approved</t>
        </is>
      </c>
      <c r="K165" t="inlineStr"/>
      <c r="L165" t="inlineStr"/>
      <c r="M165" t="inlineStr">
        <is>
          <t>Excluded from county aggregates per Table 4 survivorship</t>
        </is>
      </c>
    </row>
    <row r="166">
      <c r="A166" t="inlineStr">
        <is>
          <t>county_master</t>
        </is>
      </c>
      <c r="B166" t="inlineStr">
        <is>
          <t>Language</t>
        </is>
      </c>
      <c r="C166" t="inlineStr">
        <is>
          <t>und</t>
        </is>
      </c>
      <c r="D166" t="inlineStr">
        <is>
          <t>Undetermined</t>
        </is>
      </c>
      <c r="E166" t="inlineStr">
        <is>
          <t>Patient.language</t>
        </is>
      </c>
      <c r="F166" t="inlineStr">
        <is>
          <t>urn:ietf:bcp:47</t>
        </is>
      </c>
      <c r="G166" t="inlineStr"/>
      <c r="H166" t="inlineStr"/>
      <c r="I166" t="inlineStr">
        <is>
          <t>exclude</t>
        </is>
      </c>
      <c r="J166" t="inlineStr">
        <is>
          <t>Approved</t>
        </is>
      </c>
      <c r="K166" t="inlineStr"/>
      <c r="L166" t="inlineStr"/>
      <c r="M166" t="inlineStr">
        <is>
          <t>Excluded from county aggregates per Table 4 survivorship</t>
        </is>
      </c>
    </row>
    <row r="167">
      <c r="A167" t="inlineStr">
        <is>
          <t>county_master</t>
        </is>
      </c>
      <c r="B167" t="inlineStr">
        <is>
          <t>Language</t>
        </is>
      </c>
      <c r="C167" t="inlineStr">
        <is>
          <t>Urdu</t>
        </is>
      </c>
      <c r="D167" t="inlineStr">
        <is>
          <t>Urdu</t>
        </is>
      </c>
      <c r="E167" t="inlineStr">
        <is>
          <t>Patient.language</t>
        </is>
      </c>
      <c r="F167" t="inlineStr">
        <is>
          <t>urn:ietf:bcp:47</t>
        </is>
      </c>
      <c r="G167" t="inlineStr">
        <is>
          <t>ur</t>
        </is>
      </c>
      <c r="H167" t="inlineStr">
        <is>
          <t>Urdu</t>
        </is>
      </c>
      <c r="I167" t="inlineStr">
        <is>
          <t>exact</t>
        </is>
      </c>
      <c r="J167" t="inlineStr">
        <is>
          <t>Approved</t>
        </is>
      </c>
      <c r="K167" t="inlineStr"/>
      <c r="L167" t="inlineStr"/>
      <c r="M167" t="inlineStr">
        <is>
          <t>SHIE master-demographics survivorship workbook; Table 4/5/2 SQL; Table 4 language detail → BCP 47</t>
        </is>
      </c>
    </row>
    <row r="168">
      <c r="A168" t="inlineStr">
        <is>
          <t>county_master</t>
        </is>
      </c>
      <c r="B168" t="inlineStr">
        <is>
          <t>Language</t>
        </is>
      </c>
      <c r="C168" t="inlineStr">
        <is>
          <t>Uzbek</t>
        </is>
      </c>
      <c r="D168" t="inlineStr">
        <is>
          <t>Uzbek</t>
        </is>
      </c>
      <c r="E168" t="inlineStr">
        <is>
          <t>Patient.language</t>
        </is>
      </c>
      <c r="F168" t="inlineStr">
        <is>
          <t>urn:ietf:bcp:47</t>
        </is>
      </c>
      <c r="G168" t="inlineStr">
        <is>
          <t>uz</t>
        </is>
      </c>
      <c r="H168" t="inlineStr">
        <is>
          <t>Uzbek</t>
        </is>
      </c>
      <c r="I168" t="inlineStr">
        <is>
          <t>exact</t>
        </is>
      </c>
      <c r="J168" t="inlineStr">
        <is>
          <t>Approved</t>
        </is>
      </c>
      <c r="K168" t="inlineStr"/>
      <c r="L168" t="inlineStr"/>
      <c r="M168" t="inlineStr">
        <is>
          <t>SHIE master-demographics survivorship workbook; Table 4/5/2 SQL; Table 4 language detail → BCP 47</t>
        </is>
      </c>
    </row>
    <row r="169">
      <c r="A169" t="inlineStr">
        <is>
          <t>county_master</t>
        </is>
      </c>
      <c r="B169" t="inlineStr">
        <is>
          <t>Language</t>
        </is>
      </c>
      <c r="C169" t="inlineStr">
        <is>
          <t>Vietnamese</t>
        </is>
      </c>
      <c r="D169" t="inlineStr">
        <is>
          <t>Vietnamese</t>
        </is>
      </c>
      <c r="E169" t="inlineStr">
        <is>
          <t>Patient.language</t>
        </is>
      </c>
      <c r="F169" t="inlineStr">
        <is>
          <t>urn:ietf:bcp:47</t>
        </is>
      </c>
      <c r="G169" t="inlineStr">
        <is>
          <t>vi</t>
        </is>
      </c>
      <c r="H169" t="inlineStr">
        <is>
          <t>Vietnamese</t>
        </is>
      </c>
      <c r="I169" t="inlineStr">
        <is>
          <t>exact</t>
        </is>
      </c>
      <c r="J169" t="inlineStr">
        <is>
          <t>Approved</t>
        </is>
      </c>
      <c r="K169" t="inlineStr"/>
      <c r="L169" t="inlineStr"/>
      <c r="M169" t="inlineStr">
        <is>
          <t>SHIE master-demographics survivorship workbook; Table 4/5/2 SQL; Table 4 language detail → BCP 47</t>
        </is>
      </c>
    </row>
    <row r="170">
      <c r="A170" t="inlineStr">
        <is>
          <t>county_master</t>
        </is>
      </c>
      <c r="B170" t="inlineStr">
        <is>
          <t>Language</t>
        </is>
      </c>
      <c r="C170" t="inlineStr">
        <is>
          <t>vie</t>
        </is>
      </c>
      <c r="D170" t="inlineStr">
        <is>
          <t>Vietnamese</t>
        </is>
      </c>
      <c r="E170" t="inlineStr">
        <is>
          <t>Patient.language</t>
        </is>
      </c>
      <c r="F170" t="inlineStr">
        <is>
          <t>urn:ietf:bcp:47</t>
        </is>
      </c>
      <c r="G170" t="inlineStr">
        <is>
          <t>vi</t>
        </is>
      </c>
      <c r="H170" t="inlineStr">
        <is>
          <t>Vietnamese</t>
        </is>
      </c>
      <c r="I170" t="inlineStr">
        <is>
          <t>exact</t>
        </is>
      </c>
      <c r="J170" t="inlineStr">
        <is>
          <t>Approved</t>
        </is>
      </c>
      <c r="K170" t="inlineStr"/>
      <c r="L170" t="inlineStr"/>
      <c r="M170" t="inlineStr">
        <is>
          <t>SHIE master-demographics survivorship workbook; Table 4/5/2 SQL; Table 4 language detail → BCP 47</t>
        </is>
      </c>
    </row>
    <row r="171">
      <c r="A171" t="inlineStr">
        <is>
          <t>county_master</t>
        </is>
      </c>
      <c r="B171" t="inlineStr">
        <is>
          <t>Language</t>
        </is>
      </c>
      <c r="C171" t="inlineStr">
        <is>
          <t>Wolof</t>
        </is>
      </c>
      <c r="D171" t="inlineStr">
        <is>
          <t>Wolof</t>
        </is>
      </c>
      <c r="E171" t="inlineStr">
        <is>
          <t>Patient.language</t>
        </is>
      </c>
      <c r="F171" t="inlineStr">
        <is>
          <t>urn:ietf:bcp:47</t>
        </is>
      </c>
      <c r="G171" t="inlineStr">
        <is>
          <t>wo</t>
        </is>
      </c>
      <c r="H171" t="inlineStr">
        <is>
          <t>Wolof</t>
        </is>
      </c>
      <c r="I171" t="inlineStr">
        <is>
          <t>exact</t>
        </is>
      </c>
      <c r="J171" t="inlineStr">
        <is>
          <t>Approved</t>
        </is>
      </c>
      <c r="K171" t="inlineStr"/>
      <c r="L171" t="inlineStr"/>
      <c r="M171" t="inlineStr">
        <is>
          <t>SHIE master-demographics survivorship workbook; Table 4/5/2 SQL; Table 4 language detail → BCP 47</t>
        </is>
      </c>
    </row>
    <row r="172">
      <c r="A172" t="inlineStr">
        <is>
          <t>county_master</t>
        </is>
      </c>
      <c r="B172" t="inlineStr">
        <is>
          <t>Language</t>
        </is>
      </c>
      <c r="C172" t="inlineStr">
        <is>
          <t>Yoruba</t>
        </is>
      </c>
      <c r="D172" t="inlineStr">
        <is>
          <t>Yoruba</t>
        </is>
      </c>
      <c r="E172" t="inlineStr">
        <is>
          <t>Patient.language</t>
        </is>
      </c>
      <c r="F172" t="inlineStr">
        <is>
          <t>urn:ietf:bcp:47</t>
        </is>
      </c>
      <c r="G172" t="inlineStr">
        <is>
          <t>yo</t>
        </is>
      </c>
      <c r="H172" t="inlineStr">
        <is>
          <t>Yoruba</t>
        </is>
      </c>
      <c r="I172" t="inlineStr">
        <is>
          <t>exact</t>
        </is>
      </c>
      <c r="J172" t="inlineStr">
        <is>
          <t>Approved</t>
        </is>
      </c>
      <c r="K172" t="inlineStr"/>
      <c r="L172" t="inlineStr"/>
      <c r="M172" t="inlineStr">
        <is>
          <t>SHIE master-demographics survivorship workbook; Table 4/5/2 SQL; Table 4 language detail → BCP 47</t>
        </is>
      </c>
    </row>
    <row r="173">
      <c r="A173" t="inlineStr">
        <is>
          <t>county_master</t>
        </is>
      </c>
      <c r="B173" t="inlineStr">
        <is>
          <t>Language</t>
        </is>
      </c>
      <c r="C173" t="inlineStr">
        <is>
          <t>Declined to specify</t>
        </is>
      </c>
      <c r="D173" t="inlineStr">
        <is>
          <t>Declined to specify</t>
        </is>
      </c>
      <c r="E173" t="inlineStr">
        <is>
          <t>Patient.language</t>
        </is>
      </c>
      <c r="F173" t="inlineStr">
        <is>
          <t>urn:ietf:bcp:47</t>
        </is>
      </c>
      <c r="G173" t="inlineStr"/>
      <c r="H173" t="inlineStr"/>
      <c r="I173" t="inlineStr">
        <is>
          <t>exclude</t>
        </is>
      </c>
      <c r="J173" t="inlineStr">
        <is>
          <t>Approved</t>
        </is>
      </c>
      <c r="K173" t="inlineStr"/>
      <c r="L173" t="inlineStr"/>
      <c r="M173" t="inlineStr">
        <is>
          <t>Excluded from county aggregates per Table 4 survivorship</t>
        </is>
      </c>
    </row>
    <row r="174">
      <c r="A174" t="inlineStr">
        <is>
          <t>county_master</t>
        </is>
      </c>
      <c r="B174" t="inlineStr">
        <is>
          <t>Language</t>
        </is>
      </c>
      <c r="C174" t="inlineStr">
        <is>
          <t>Other</t>
        </is>
      </c>
      <c r="D174" t="inlineStr">
        <is>
          <t>Other</t>
        </is>
      </c>
      <c r="E174" t="inlineStr">
        <is>
          <t>Patient.language</t>
        </is>
      </c>
      <c r="F174" t="inlineStr">
        <is>
          <t>urn:ietf:bcp:47</t>
        </is>
      </c>
      <c r="G174" t="inlineStr"/>
      <c r="H174" t="inlineStr"/>
      <c r="I174" t="inlineStr">
        <is>
          <t>exclude</t>
        </is>
      </c>
      <c r="J174" t="inlineStr">
        <is>
          <t>Approved</t>
        </is>
      </c>
      <c r="K174" t="inlineStr"/>
      <c r="L174" t="inlineStr"/>
      <c r="M174" t="inlineStr">
        <is>
          <t>Excluded from county aggregates per Table 4 survivorship</t>
        </is>
      </c>
    </row>
    <row r="175">
      <c r="A175" t="inlineStr">
        <is>
          <t>county_master</t>
        </is>
      </c>
      <c r="B175" t="inlineStr">
        <is>
          <t>Language</t>
        </is>
      </c>
      <c r="C175" t="inlineStr">
        <is>
          <t>SPE</t>
        </is>
      </c>
      <c r="D175" t="inlineStr">
        <is>
          <t>SPE</t>
        </is>
      </c>
      <c r="E175" t="inlineStr">
        <is>
          <t>Patient.language</t>
        </is>
      </c>
      <c r="F175" t="inlineStr">
        <is>
          <t>urn:ietf:bcp:47</t>
        </is>
      </c>
      <c r="G175" t="inlineStr"/>
      <c r="H175" t="inlineStr"/>
      <c r="I175" t="inlineStr">
        <is>
          <t>exclude</t>
        </is>
      </c>
      <c r="J175" t="inlineStr">
        <is>
          <t>Approved</t>
        </is>
      </c>
      <c r="K175" t="inlineStr"/>
      <c r="L175" t="inlineStr"/>
      <c r="M175" t="inlineStr">
        <is>
          <t>Excluded from county aggregates per Table 4 survivorship</t>
        </is>
      </c>
    </row>
    <row r="176">
      <c r="A176" t="inlineStr">
        <is>
          <t>county_master</t>
        </is>
      </c>
      <c r="B176" t="inlineStr">
        <is>
          <t>Language</t>
        </is>
      </c>
      <c r="C176" t="inlineStr">
        <is>
          <t>Declined to spec</t>
        </is>
      </c>
      <c r="D176" t="inlineStr">
        <is>
          <t>Declined to spec</t>
        </is>
      </c>
      <c r="E176" t="inlineStr">
        <is>
          <t>Patient.language</t>
        </is>
      </c>
      <c r="F176" t="inlineStr">
        <is>
          <t>urn:ietf:bcp:47</t>
        </is>
      </c>
      <c r="G176" t="inlineStr"/>
      <c r="H176" t="inlineStr"/>
      <c r="I176" t="inlineStr">
        <is>
          <t>exclude</t>
        </is>
      </c>
      <c r="J176" t="inlineStr">
        <is>
          <t>Approved</t>
        </is>
      </c>
      <c r="K176" t="inlineStr"/>
      <c r="L176" t="inlineStr"/>
      <c r="M176" t="inlineStr">
        <is>
          <t>Excluded from county aggregates per Table 4 survivorship</t>
        </is>
      </c>
    </row>
    <row r="177">
      <c r="A177" t="inlineStr">
        <is>
          <t>county_master</t>
        </is>
      </c>
      <c r="B177" t="inlineStr">
        <is>
          <t>Language</t>
        </is>
      </c>
      <c r="C177" t="inlineStr">
        <is>
          <t>OTHER</t>
        </is>
      </c>
      <c r="D177" t="inlineStr">
        <is>
          <t>OTHER</t>
        </is>
      </c>
      <c r="E177" t="inlineStr">
        <is>
          <t>Patient.language</t>
        </is>
      </c>
      <c r="F177" t="inlineStr">
        <is>
          <t>urn:ietf:bcp:47</t>
        </is>
      </c>
      <c r="G177" t="inlineStr"/>
      <c r="H177" t="inlineStr"/>
      <c r="I177" t="inlineStr">
        <is>
          <t>exclude</t>
        </is>
      </c>
      <c r="J177" t="inlineStr">
        <is>
          <t>Approved</t>
        </is>
      </c>
      <c r="K177" t="inlineStr"/>
      <c r="L177" t="inlineStr"/>
      <c r="M177" t="inlineStr">
        <is>
          <t>Excluded from county aggregates per Table 4 survivorship</t>
        </is>
      </c>
    </row>
    <row r="178">
      <c r="A178" t="inlineStr">
        <is>
          <t>county_master</t>
        </is>
      </c>
      <c r="B178" t="inlineStr">
        <is>
          <t>SexID</t>
        </is>
      </c>
      <c r="C178" t="inlineStr">
        <is>
          <t>M</t>
        </is>
      </c>
      <c r="D178" t="inlineStr">
        <is>
          <t>M</t>
        </is>
      </c>
      <c r="E178" t="inlineStr">
        <is>
          <t>Patient.birth_sex</t>
        </is>
      </c>
      <c r="F178" t="inlineStr">
        <is>
          <t>http://hl7.org/fhir/us/core/CodeSystem/birthsex</t>
        </is>
      </c>
      <c r="G178" t="inlineStr">
        <is>
          <t>M</t>
        </is>
      </c>
      <c r="H178" t="inlineStr">
        <is>
          <t>Male</t>
        </is>
      </c>
      <c r="I178" t="inlineStr">
        <is>
          <t>exact</t>
        </is>
      </c>
      <c r="J178" t="inlineStr">
        <is>
          <t>Approved</t>
        </is>
      </c>
      <c r="K178" t="inlineStr"/>
      <c r="L178" t="inlineStr"/>
      <c r="M178" t="inlineStr">
        <is>
          <t>SHIE master-demographics survivorship workbook; Table 4/5/2 SQL; Table 2 SexID — not Patient.gender_id</t>
        </is>
      </c>
    </row>
    <row r="179">
      <c r="A179" t="inlineStr">
        <is>
          <t>county_master</t>
        </is>
      </c>
      <c r="B179" t="inlineStr">
        <is>
          <t>SexID</t>
        </is>
      </c>
      <c r="C179" t="inlineStr">
        <is>
          <t>F</t>
        </is>
      </c>
      <c r="D179" t="inlineStr">
        <is>
          <t>F</t>
        </is>
      </c>
      <c r="E179" t="inlineStr">
        <is>
          <t>Patient.birth_sex</t>
        </is>
      </c>
      <c r="F179" t="inlineStr">
        <is>
          <t>http://hl7.org/fhir/us/core/CodeSystem/birthsex</t>
        </is>
      </c>
      <c r="G179" t="inlineStr">
        <is>
          <t>F</t>
        </is>
      </c>
      <c r="H179" t="inlineStr">
        <is>
          <t>Female</t>
        </is>
      </c>
      <c r="I179" t="inlineStr">
        <is>
          <t>exact</t>
        </is>
      </c>
      <c r="J179" t="inlineStr">
        <is>
          <t>Approved</t>
        </is>
      </c>
      <c r="K179" t="inlineStr"/>
      <c r="L179" t="inlineStr"/>
      <c r="M179" t="inlineStr">
        <is>
          <t>SHIE master-demographics survivorship workbook; Table 4/5/2 SQL; Table 2 SexID — not Patient.gender_id</t>
        </is>
      </c>
    </row>
    <row r="180">
      <c r="A180" t="inlineStr">
        <is>
          <t>county_master</t>
        </is>
      </c>
      <c r="B180" t="inlineStr">
        <is>
          <t>SexID</t>
        </is>
      </c>
      <c r="C180" t="inlineStr">
        <is>
          <t>Male</t>
        </is>
      </c>
      <c r="D180" t="inlineStr">
        <is>
          <t>Male</t>
        </is>
      </c>
      <c r="E180" t="inlineStr">
        <is>
          <t>Patient.birth_sex</t>
        </is>
      </c>
      <c r="F180" t="inlineStr">
        <is>
          <t>http://hl7.org/fhir/us/core/CodeSystem/birthsex</t>
        </is>
      </c>
      <c r="G180" t="inlineStr">
        <is>
          <t>M</t>
        </is>
      </c>
      <c r="H180" t="inlineStr">
        <is>
          <t>Male</t>
        </is>
      </c>
      <c r="I180" t="inlineStr">
        <is>
          <t>rollup</t>
        </is>
      </c>
      <c r="J180" t="inlineStr">
        <is>
          <t>Approved</t>
        </is>
      </c>
      <c r="K180" t="inlineStr"/>
      <c r="L180" t="inlineStr"/>
      <c r="M180" t="inlineStr">
        <is>
          <t>SHIE master-demographics survivorship workbook; Table 4/5/2 SQL; Table 2 SexID — not Patient.gender_id</t>
        </is>
      </c>
    </row>
    <row r="181">
      <c r="A181" t="inlineStr">
        <is>
          <t>county_master</t>
        </is>
      </c>
      <c r="B181" t="inlineStr">
        <is>
          <t>SexID</t>
        </is>
      </c>
      <c r="C181" t="inlineStr">
        <is>
          <t>Female</t>
        </is>
      </c>
      <c r="D181" t="inlineStr">
        <is>
          <t>Female</t>
        </is>
      </c>
      <c r="E181" t="inlineStr">
        <is>
          <t>Patient.birth_sex</t>
        </is>
      </c>
      <c r="F181" t="inlineStr">
        <is>
          <t>http://hl7.org/fhir/us/core/CodeSystem/birthsex</t>
        </is>
      </c>
      <c r="G181" t="inlineStr">
        <is>
          <t>F</t>
        </is>
      </c>
      <c r="H181" t="inlineStr">
        <is>
          <t>Female</t>
        </is>
      </c>
      <c r="I181" t="inlineStr">
        <is>
          <t>rollup</t>
        </is>
      </c>
      <c r="J181" t="inlineStr">
        <is>
          <t>Approved</t>
        </is>
      </c>
      <c r="K181" t="inlineStr"/>
      <c r="L181" t="inlineStr"/>
      <c r="M181" t="inlineStr">
        <is>
          <t>SHIE master-demographics survivorship workbook; Table 4/5/2 SQL; Table 2 SexID — not Patient.gender_id</t>
        </is>
      </c>
    </row>
    <row r="182">
      <c r="A182" t="inlineStr">
        <is>
          <t>county_master</t>
        </is>
      </c>
      <c r="B182" t="inlineStr">
        <is>
          <t>SexID</t>
        </is>
      </c>
      <c r="C182" t="inlineStr">
        <is>
          <t>Male to Female</t>
        </is>
      </c>
      <c r="D182" t="inlineStr">
        <is>
          <t>Male to Female</t>
        </is>
      </c>
      <c r="E182" t="inlineStr">
        <is>
          <t>Patient.birth_sex</t>
        </is>
      </c>
      <c r="F182" t="inlineStr">
        <is>
          <t>http://hl7.org/fhir/us/core/CodeSystem/birthsex</t>
        </is>
      </c>
      <c r="G182" t="inlineStr">
        <is>
          <t>F</t>
        </is>
      </c>
      <c r="H182" t="inlineStr">
        <is>
          <t>Female</t>
        </is>
      </c>
      <c r="I182" t="inlineStr">
        <is>
          <t>rollup</t>
        </is>
      </c>
      <c r="J182" t="inlineStr">
        <is>
          <t>Approved</t>
        </is>
      </c>
      <c r="K182" t="inlineStr"/>
      <c r="L182" t="inlineStr"/>
      <c r="M182" t="inlineStr">
        <is>
          <t>SHIE master-demographics survivorship workbook; Table 4/5/2 SQL; Table 2 SexID — not Patient.gender_id</t>
        </is>
      </c>
    </row>
    <row r="183">
      <c r="A183" t="inlineStr">
        <is>
          <t>county_master</t>
        </is>
      </c>
      <c r="B183" t="inlineStr">
        <is>
          <t>SexID</t>
        </is>
      </c>
      <c r="C183" t="inlineStr">
        <is>
          <t>Female to Male</t>
        </is>
      </c>
      <c r="D183" t="inlineStr">
        <is>
          <t>Female to Male</t>
        </is>
      </c>
      <c r="E183" t="inlineStr">
        <is>
          <t>Patient.birth_sex</t>
        </is>
      </c>
      <c r="F183" t="inlineStr">
        <is>
          <t>http://hl7.org/fhir/us/core/CodeSystem/birthsex</t>
        </is>
      </c>
      <c r="G183" t="inlineStr">
        <is>
          <t>M</t>
        </is>
      </c>
      <c r="H183" t="inlineStr">
        <is>
          <t>Male</t>
        </is>
      </c>
      <c r="I183" t="inlineStr">
        <is>
          <t>rollup</t>
        </is>
      </c>
      <c r="J183" t="inlineStr">
        <is>
          <t>Approved</t>
        </is>
      </c>
      <c r="K183" t="inlineStr"/>
      <c r="L183" t="inlineStr"/>
      <c r="M183" t="inlineStr">
        <is>
          <t>SHIE master-demographics survivorship workbook; Table 4/5/2 SQL; Table 2 SexID — not Patient.gender_id</t>
        </is>
      </c>
    </row>
    <row r="184">
      <c r="A184" t="inlineStr">
        <is>
          <t>county_master</t>
        </is>
      </c>
      <c r="B184" t="inlineStr">
        <is>
          <t>SexID</t>
        </is>
      </c>
      <c r="C184" t="inlineStr">
        <is>
          <t>Unknown/ Other</t>
        </is>
      </c>
      <c r="D184" t="inlineStr">
        <is>
          <t>Unknown/ Other</t>
        </is>
      </c>
      <c r="E184" t="inlineStr">
        <is>
          <t>Patient.birth_sex</t>
        </is>
      </c>
      <c r="F184" t="inlineStr">
        <is>
          <t>http://hl7.org/fhir/us/core/CodeSystem/birthsex</t>
        </is>
      </c>
      <c r="G184" t="inlineStr">
        <is>
          <t>UNK</t>
        </is>
      </c>
      <c r="H184" t="inlineStr">
        <is>
          <t>Unknown</t>
        </is>
      </c>
      <c r="I184" t="inlineStr">
        <is>
          <t>exclude</t>
        </is>
      </c>
      <c r="J184" t="inlineStr">
        <is>
          <t>Approved</t>
        </is>
      </c>
      <c r="K184" t="inlineStr"/>
      <c r="L184" t="inlineStr"/>
      <c r="M184" t="inlineStr">
        <is>
          <t>Treated as null at master level per county SexID logic</t>
        </is>
      </c>
    </row>
    <row r="185">
      <c r="A185" t="inlineStr">
        <is>
          <t>county_master</t>
        </is>
      </c>
      <c r="B185" t="inlineStr">
        <is>
          <t>SexID</t>
        </is>
      </c>
      <c r="C185" t="inlineStr">
        <is>
          <t>U</t>
        </is>
      </c>
      <c r="D185" t="inlineStr">
        <is>
          <t>U</t>
        </is>
      </c>
      <c r="E185" t="inlineStr">
        <is>
          <t>Patient.birth_sex</t>
        </is>
      </c>
      <c r="F185" t="inlineStr">
        <is>
          <t>http://hl7.org/fhir/us/core/CodeSystem/birthsex</t>
        </is>
      </c>
      <c r="G185" t="inlineStr">
        <is>
          <t>UNK</t>
        </is>
      </c>
      <c r="H185" t="inlineStr">
        <is>
          <t>Unknown</t>
        </is>
      </c>
      <c r="I185" t="inlineStr">
        <is>
          <t>exclude</t>
        </is>
      </c>
      <c r="J185" t="inlineStr">
        <is>
          <t>Approved</t>
        </is>
      </c>
      <c r="K185" t="inlineStr"/>
      <c r="L185" t="inlineStr"/>
      <c r="M185" t="inlineStr">
        <is>
          <t>Treated as null at master level per county SexID logic</t>
        </is>
      </c>
    </row>
    <row r="186">
      <c r="A186" t="inlineStr">
        <is>
          <t>county_master</t>
        </is>
      </c>
      <c r="B186" t="inlineStr">
        <is>
          <t>SexID</t>
        </is>
      </c>
      <c r="C186" t="inlineStr">
        <is>
          <t>Unknown</t>
        </is>
      </c>
      <c r="D186" t="inlineStr">
        <is>
          <t>Unknown</t>
        </is>
      </c>
      <c r="E186" t="inlineStr">
        <is>
          <t>Patient.birth_sex</t>
        </is>
      </c>
      <c r="F186" t="inlineStr">
        <is>
          <t>http://hl7.org/fhir/us/core/CodeSystem/birthsex</t>
        </is>
      </c>
      <c r="G186" t="inlineStr">
        <is>
          <t>UNK</t>
        </is>
      </c>
      <c r="H186" t="inlineStr">
        <is>
          <t>Unknown</t>
        </is>
      </c>
      <c r="I186" t="inlineStr">
        <is>
          <t>exclude</t>
        </is>
      </c>
      <c r="J186" t="inlineStr">
        <is>
          <t>Approved</t>
        </is>
      </c>
      <c r="K186" t="inlineStr"/>
      <c r="L186" t="inlineStr"/>
      <c r="M186" t="inlineStr">
        <is>
          <t>Treated as null at master level per county SexID logic</t>
        </is>
      </c>
    </row>
    <row r="187">
      <c r="A187" t="inlineStr">
        <is>
          <t>county_master</t>
        </is>
      </c>
      <c r="B187" t="inlineStr">
        <is>
          <t>SexID</t>
        </is>
      </c>
      <c r="C187" t="inlineStr">
        <is>
          <t>Any</t>
        </is>
      </c>
      <c r="D187" t="inlineStr">
        <is>
          <t>Any</t>
        </is>
      </c>
      <c r="E187" t="inlineStr">
        <is>
          <t>Patient.birth_sex</t>
        </is>
      </c>
      <c r="F187" t="inlineStr">
        <is>
          <t>http://hl7.org/fhir/us/core/CodeSystem/birthsex</t>
        </is>
      </c>
      <c r="G187" t="inlineStr">
        <is>
          <t>UNK</t>
        </is>
      </c>
      <c r="H187" t="inlineStr">
        <is>
          <t>Unknown</t>
        </is>
      </c>
      <c r="I187" t="inlineStr">
        <is>
          <t>exclude</t>
        </is>
      </c>
      <c r="J187" t="inlineStr">
        <is>
          <t>Approved</t>
        </is>
      </c>
      <c r="K187" t="inlineStr"/>
      <c r="L187" t="inlineStr"/>
      <c r="M187" t="inlineStr">
        <is>
          <t>Treated as null at master level per county SexID logic</t>
        </is>
      </c>
    </row>
    <row r="188">
      <c r="A188" t="inlineStr">
        <is>
          <t>partner_intake</t>
        </is>
      </c>
      <c r="B188" t="inlineStr">
        <is>
          <t>GenderIdentity</t>
        </is>
      </c>
      <c r="C188" t="inlineStr">
        <is>
          <t>FEMALE</t>
        </is>
      </c>
      <c r="D188" t="inlineStr">
        <is>
          <t>Female (self-reported)</t>
        </is>
      </c>
      <c r="E188" t="inlineStr">
        <is>
          <t>Patient.gender_id</t>
        </is>
      </c>
      <c r="F188" t="inlineStr">
        <is>
          <t>urn:oid:2.16.840.1.113883.6.96</t>
        </is>
      </c>
      <c r="G188" t="inlineStr">
        <is>
          <t>446141000124107</t>
        </is>
      </c>
      <c r="H188" t="inlineStr">
        <is>
          <t>Female gender identity</t>
        </is>
      </c>
      <c r="I188" t="inlineStr">
        <is>
          <t>exact</t>
        </is>
      </c>
      <c r="J188" t="inlineStr">
        <is>
          <t>draft</t>
        </is>
      </c>
      <c r="K188" t="inlineStr"/>
      <c r="L188" t="inlineStr"/>
      <c r="M188" t="inlineStr">
        <is>
          <t>Example: local export code → HL7 gender-identity minimum set. Not SexID / birth sex.</t>
        </is>
      </c>
    </row>
    <row r="189">
      <c r="A189" t="inlineStr">
        <is>
          <t>partner_intake</t>
        </is>
      </c>
      <c r="B189" t="inlineStr">
        <is>
          <t>GenderIdentity</t>
        </is>
      </c>
      <c r="C189" t="inlineStr">
        <is>
          <t>MALE</t>
        </is>
      </c>
      <c r="D189" t="inlineStr">
        <is>
          <t>Male (self-reported)</t>
        </is>
      </c>
      <c r="E189" t="inlineStr">
        <is>
          <t>Patient.gender_id</t>
        </is>
      </c>
      <c r="F189" t="inlineStr">
        <is>
          <t>urn:oid:2.16.840.1.113883.6.96</t>
        </is>
      </c>
      <c r="G189" t="inlineStr">
        <is>
          <t>446151000124109</t>
        </is>
      </c>
      <c r="H189" t="inlineStr">
        <is>
          <t>Male gender identity</t>
        </is>
      </c>
      <c r="I189" t="inlineStr">
        <is>
          <t>exact</t>
        </is>
      </c>
      <c r="J189" t="inlineStr">
        <is>
          <t>draft</t>
        </is>
      </c>
      <c r="K189" t="inlineStr"/>
      <c r="L189" t="inlineStr"/>
      <c r="M189" t="inlineStr">
        <is>
          <t>Distinct from administrative SexID on Patient.birth_sex.</t>
        </is>
      </c>
    </row>
    <row r="190">
      <c r="A190" t="inlineStr">
        <is>
          <t>partner_intake</t>
        </is>
      </c>
      <c r="B190" t="inlineStr">
        <is>
          <t>GenderIdentity</t>
        </is>
      </c>
      <c r="C190" t="inlineStr">
        <is>
          <t>NONBINARY</t>
        </is>
      </c>
      <c r="D190" t="inlineStr">
        <is>
          <t>Non-binary</t>
        </is>
      </c>
      <c r="E190" t="inlineStr">
        <is>
          <t>Patient.gender_id</t>
        </is>
      </c>
      <c r="F190" t="inlineStr">
        <is>
          <t>urn:oid:2.16.840.1.113883.6.96</t>
        </is>
      </c>
      <c r="G190" t="inlineStr">
        <is>
          <t>33791000087105</t>
        </is>
      </c>
      <c r="H190" t="inlineStr">
        <is>
          <t>Non-binary gender identity</t>
        </is>
      </c>
      <c r="I190" t="inlineStr">
        <is>
          <t>exact</t>
        </is>
      </c>
      <c r="J190" t="inlineStr">
        <is>
          <t>draft</t>
        </is>
      </c>
      <c r="K190" t="inlineStr"/>
      <c r="L190" t="inlineStr"/>
      <c r="M190" t="inlineStr">
        <is>
          <t>CHI partner crosswalk template; replace source_id with assigned source_id after intake</t>
        </is>
      </c>
    </row>
    <row r="191">
      <c r="A191" t="inlineStr">
        <is>
          <t>partner_intake</t>
        </is>
      </c>
      <c r="B191" t="inlineStr">
        <is>
          <t>GenderIdentity</t>
        </is>
      </c>
      <c r="C191" t="inlineStr">
        <is>
          <t>TWO_SPIRIT</t>
        </is>
      </c>
      <c r="D191" t="inlineStr">
        <is>
          <t>Two-Spirit</t>
        </is>
      </c>
      <c r="E191" t="inlineStr">
        <is>
          <t>Patient.gender_id</t>
        </is>
      </c>
      <c r="F191" t="inlineStr">
        <is>
          <t>urn:oid:2.16.840.1.113883.6.96</t>
        </is>
      </c>
      <c r="G191" t="inlineStr">
        <is>
          <t>33791000087105</t>
        </is>
      </c>
      <c r="H191" t="inlineStr">
        <is>
          <t>Non-binary gender identity</t>
        </is>
      </c>
      <c r="I191" t="inlineStr">
        <is>
          <t>rollup</t>
        </is>
      </c>
      <c r="J191" t="inlineStr">
        <is>
          <t>draft</t>
        </is>
      </c>
      <c r="K191" t="inlineStr"/>
      <c r="L191" t="inlineStr"/>
      <c r="M191" t="inlineStr">
        <is>
          <t>Jurisdiction-specific label rolled to SNOMED minimum set; steward may refine after clinical review.</t>
        </is>
      </c>
    </row>
    <row r="192">
      <c r="A192" t="inlineStr">
        <is>
          <t>partner_intake</t>
        </is>
      </c>
      <c r="B192" t="inlineStr">
        <is>
          <t>GenderIdentity</t>
        </is>
      </c>
      <c r="C192" t="inlineStr">
        <is>
          <t>DECLINE</t>
        </is>
      </c>
      <c r="D192" t="inlineStr">
        <is>
          <t>Declined to answer</t>
        </is>
      </c>
      <c r="E192" t="inlineStr">
        <is>
          <t>Patient.gender_id</t>
        </is>
      </c>
      <c r="F192" t="inlineStr">
        <is>
          <t>http://terminology.hl7.org/CodeSystem/data-absent-reason</t>
        </is>
      </c>
      <c r="G192" t="inlineStr">
        <is>
          <t>asked-declined</t>
        </is>
      </c>
      <c r="H192" t="inlineStr">
        <is>
          <t>Asked but declined</t>
        </is>
      </c>
      <c r="I192" t="inlineStr">
        <is>
          <t>exclude</t>
        </is>
      </c>
      <c r="J192" t="inlineStr">
        <is>
          <t>draft</t>
        </is>
      </c>
      <c r="K192" t="inlineStr"/>
      <c r="L192" t="inlineStr"/>
      <c r="M192" t="inlineStr">
        <is>
          <t>Exclude from equity aggregates per survivorship.</t>
        </is>
      </c>
    </row>
    <row r="193">
      <c r="A193" t="inlineStr">
        <is>
          <t>partner_intake</t>
        </is>
      </c>
      <c r="B193" t="inlineStr">
        <is>
          <t>GenderIdentity</t>
        </is>
      </c>
      <c r="C193" t="inlineStr">
        <is>
          <t>UNKNOWN</t>
        </is>
      </c>
      <c r="D193" t="inlineStr">
        <is>
          <t>Unknown</t>
        </is>
      </c>
      <c r="E193" t="inlineStr">
        <is>
          <t>Patient.gender_id</t>
        </is>
      </c>
      <c r="F193" t="inlineStr">
        <is>
          <t>urn:oid:2.16.840.1.113883.5.1008</t>
        </is>
      </c>
      <c r="G193" t="inlineStr">
        <is>
          <t>UNK</t>
        </is>
      </c>
      <c r="H193" t="inlineStr">
        <is>
          <t>Unknown</t>
        </is>
      </c>
      <c r="I193" t="inlineStr">
        <is>
          <t>exclude</t>
        </is>
      </c>
      <c r="J193" t="inlineStr">
        <is>
          <t>draft</t>
        </is>
      </c>
      <c r="K193" t="inlineStr"/>
      <c r="L193" t="inlineStr"/>
      <c r="M193" t="inlineStr">
        <is>
          <t>Treated as null at master level when source sends non-answer.</t>
        </is>
      </c>
    </row>
    <row r="194">
      <c r="A194" t="inlineStr">
        <is>
          <t>partner_intake</t>
        </is>
      </c>
      <c r="B194" t="inlineStr">
        <is>
          <t>RaceCode</t>
        </is>
      </c>
      <c r="C194" t="inlineStr">
        <is>
          <t>A</t>
        </is>
      </c>
      <c r="D194" t="inlineStr">
        <is>
          <t>Asian</t>
        </is>
      </c>
      <c r="E194" t="inlineStr">
        <is>
          <t>Patient.race</t>
        </is>
      </c>
      <c r="F194" t="inlineStr">
        <is>
          <t>urn:oid:2.16.840.1.113883.6.238</t>
        </is>
      </c>
      <c r="G194" t="inlineStr">
        <is>
          <t>2028-9</t>
        </is>
      </c>
      <c r="H194" t="inlineStr">
        <is>
          <t>Asian</t>
        </is>
      </c>
      <c r="I194" t="inlineStr">
        <is>
          <t>rollup</t>
        </is>
      </c>
      <c r="J194" t="inlineStr">
        <is>
          <t>draft</t>
        </is>
      </c>
      <c r="K194" t="inlineStr"/>
      <c r="L194" t="inlineStr"/>
      <c r="M194" t="inlineStr">
        <is>
          <t>Pattern example only — replace with your local race code list; target must be governed CDCREC OMB rollup.</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7" customWidth="1" min="4" max="4"/>
    <col width="38" customWidth="1" min="5" max="5"/>
  </cols>
  <sheetData>
    <row r="1">
      <c r="A1" s="4" t="inlineStr">
        <is>
          <t>source_id</t>
        </is>
      </c>
      <c r="B1" s="4" t="inlineStr">
        <is>
          <t>source_name</t>
        </is>
      </c>
      <c r="C1" s="4" t="inlineStr">
        <is>
          <t>organization</t>
        </is>
      </c>
      <c r="D1" s="4" t="inlineStr">
        <is>
          <t>delivery_format</t>
        </is>
      </c>
      <c r="E1" s="4" t="inlineStr">
        <is>
          <t>notes</t>
        </is>
      </c>
    </row>
    <row r="2">
      <c r="A2" t="inlineStr">
        <is>
          <t>cmt</t>
        </is>
      </c>
      <c r="B2" t="inlineStr"/>
      <c r="C2" t="inlineStr"/>
      <c r="D2" t="inlineStr"/>
      <c r="E2" t="inlineStr">
        <is>
          <t>Populate source metadata for steward reference.</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38" customWidth="1" min="1" max="1"/>
    <col width="17" customWidth="1" min="2" max="2"/>
    <col width="21" customWidth="1" min="3" max="3"/>
    <col width="38" customWidth="1" min="4" max="4"/>
    <col width="16" customWidth="1" min="5" max="5"/>
    <col width="12" customWidth="1" min="6" max="6"/>
    <col width="20" customWidth="1" min="7" max="7"/>
    <col width="13" customWidth="1" min="8" max="8"/>
  </cols>
  <sheetData>
    <row r="1">
      <c r="A1" s="4" t="inlineStr">
        <is>
          <t>semantic_id</t>
        </is>
      </c>
      <c r="B1" s="4" t="inlineStr">
        <is>
          <t>curation_status</t>
        </is>
      </c>
      <c r="C1" s="4" t="inlineStr">
        <is>
          <t>steward_assigned_to</t>
        </is>
      </c>
      <c r="D1" s="4" t="inlineStr">
        <is>
          <t>steward_action_notes</t>
        </is>
      </c>
      <c r="E1" s="4" t="inlineStr">
        <is>
          <t>reviewer_notes</t>
        </is>
      </c>
      <c r="F1" s="4" t="inlineStr">
        <is>
          <t>priority</t>
        </is>
      </c>
      <c r="G1" s="4" t="inlineStr">
        <is>
          <t>queue_type</t>
        </is>
      </c>
      <c r="H1" s="4" t="inlineStr">
        <is>
          <t>next_action</t>
        </is>
      </c>
    </row>
    <row r="2">
      <c r="A2" t="inlineStr">
        <is>
          <t>Patient.race</t>
        </is>
      </c>
      <c r="B2" t="inlineStr">
        <is>
          <t>Approved</t>
        </is>
      </c>
      <c r="C2" t="inlineStr">
        <is>
          <t>Ajay Prashar</t>
        </is>
      </c>
      <c r="D2" t="inlineStr">
        <is>
          <t>Health equity dashboard; ASCMI consent; crosswalk validation</t>
        </is>
      </c>
      <c r="E2" t="inlineStr"/>
      <c r="F2" t="inlineStr">
        <is>
          <t>POC</t>
        </is>
      </c>
      <c r="G2" t="inlineStr">
        <is>
          <t>demographics_pilot</t>
        </is>
      </c>
      <c r="H2" t="inlineStr">
        <is>
          <t>Done</t>
        </is>
      </c>
    </row>
    <row r="3">
      <c r="A3" t="inlineStr">
        <is>
          <t>Patient.ethnicity</t>
        </is>
      </c>
      <c r="B3" t="inlineStr">
        <is>
          <t>Approved</t>
        </is>
      </c>
      <c r="C3" t="inlineStr">
        <is>
          <t>Ajay Prashar</t>
        </is>
      </c>
      <c r="D3" t="inlineStr">
        <is>
          <t>Health equity dashboard; ASCMI consent</t>
        </is>
      </c>
      <c r="E3" t="inlineStr"/>
      <c r="F3" t="inlineStr">
        <is>
          <t>POC</t>
        </is>
      </c>
      <c r="G3" t="inlineStr">
        <is>
          <t>demographics_pilot</t>
        </is>
      </c>
      <c r="H3" t="inlineStr">
        <is>
          <t>Done</t>
        </is>
      </c>
    </row>
    <row r="4">
      <c r="A4" t="inlineStr">
        <is>
          <t>Patient.language</t>
        </is>
      </c>
      <c r="B4" t="inlineStr">
        <is>
          <t>Approved</t>
        </is>
      </c>
      <c r="C4" t="inlineStr">
        <is>
          <t>Ajay Prashar</t>
        </is>
      </c>
      <c r="D4" t="inlineStr">
        <is>
          <t>Health equity dashboard; outreach language targeting</t>
        </is>
      </c>
      <c r="E4" t="inlineStr"/>
      <c r="F4" t="inlineStr">
        <is>
          <t>POC</t>
        </is>
      </c>
      <c r="G4" t="inlineStr">
        <is>
          <t>demographics_pilot</t>
        </is>
      </c>
      <c r="H4" t="inlineStr">
        <is>
          <t>Done</t>
        </is>
      </c>
    </row>
    <row r="5">
      <c r="A5" t="inlineStr">
        <is>
          <t>Patient.gender_id</t>
        </is>
      </c>
      <c r="B5" t="inlineStr">
        <is>
          <t>Approved</t>
        </is>
      </c>
      <c r="C5" t="inlineStr">
        <is>
          <t>Ajay Prashar</t>
        </is>
      </c>
      <c r="D5" t="inlineStr">
        <is>
          <t>ASCMI consent; equity reporting</t>
        </is>
      </c>
      <c r="E5" t="inlineStr"/>
      <c r="F5" t="inlineStr">
        <is>
          <t>POC</t>
        </is>
      </c>
      <c r="G5" t="inlineStr">
        <is>
          <t>demographics_pilot</t>
        </is>
      </c>
      <c r="H5" t="inlineStr">
        <is>
          <t>Done</t>
        </is>
      </c>
    </row>
    <row r="6">
      <c r="A6" t="inlineStr">
        <is>
          <t>Patient.birth_sex</t>
        </is>
      </c>
      <c r="B6" t="inlineStr">
        <is>
          <t>Approved</t>
        </is>
      </c>
      <c r="C6" t="inlineStr">
        <is>
          <t>Ajay Prashar</t>
        </is>
      </c>
      <c r="D6" t="inlineStr">
        <is>
          <t>UMPI matching; clinical use; not interchangeable with gender identity</t>
        </is>
      </c>
      <c r="E6" t="inlineStr"/>
      <c r="F6" t="inlineStr">
        <is>
          <t>POC</t>
        </is>
      </c>
      <c r="G6" t="inlineStr">
        <is>
          <t>demographics_pilot</t>
        </is>
      </c>
      <c r="H6" t="inlineStr">
        <is>
          <t>Done</t>
        </is>
      </c>
    </row>
    <row r="7">
      <c r="A7" t="inlineStr">
        <is>
          <t>Condition.code</t>
        </is>
      </c>
      <c r="B7" t="inlineStr"/>
      <c r="C7" t="inlineStr"/>
      <c r="D7" t="inlineStr"/>
      <c r="E7" t="inlineStr"/>
      <c r="F7" t="inlineStr"/>
      <c r="G7" t="inlineStr"/>
      <c r="H7" t="inlineStr"/>
    </row>
    <row r="8">
      <c r="A8" t="inlineStr">
        <is>
          <t>Coverage.identifier</t>
        </is>
      </c>
      <c r="B8" t="inlineStr"/>
      <c r="C8" t="inlineStr"/>
      <c r="D8" t="inlineStr"/>
      <c r="E8" t="inlineStr"/>
      <c r="F8" t="inlineStr"/>
      <c r="G8" t="inlineStr"/>
      <c r="H8" t="inlineStr"/>
    </row>
    <row r="9">
      <c r="A9" t="inlineStr">
        <is>
          <t>Coverage.payor</t>
        </is>
      </c>
      <c r="B9" t="inlineStr"/>
      <c r="C9" t="inlineStr"/>
      <c r="D9" t="inlineStr"/>
      <c r="E9" t="inlineStr"/>
      <c r="F9" t="inlineStr"/>
      <c r="G9" t="inlineStr"/>
      <c r="H9" t="inlineStr"/>
    </row>
    <row r="10">
      <c r="A10" t="inlineStr">
        <is>
          <t>Encounter.class</t>
        </is>
      </c>
      <c r="B10" t="inlineStr"/>
      <c r="C10" t="inlineStr"/>
      <c r="D10" t="inlineStr"/>
      <c r="E10" t="inlineStr"/>
      <c r="F10" t="inlineStr"/>
      <c r="G10" t="inlineStr"/>
      <c r="H10" t="inlineStr"/>
    </row>
    <row r="11">
      <c r="A11" t="inlineStr">
        <is>
          <t>Encounter.hospitalization.dischargeDisposition</t>
        </is>
      </c>
      <c r="B11" t="inlineStr"/>
      <c r="C11" t="inlineStr"/>
      <c r="D11" t="inlineStr"/>
      <c r="E11" t="inlineStr"/>
      <c r="F11" t="inlineStr"/>
      <c r="G11" t="inlineStr"/>
      <c r="H11" t="inlineStr"/>
    </row>
    <row r="12">
      <c r="A12" t="inlineStr">
        <is>
          <t>Encounter.identifier</t>
        </is>
      </c>
      <c r="B12" t="inlineStr"/>
      <c r="C12" t="inlineStr"/>
      <c r="D12" t="inlineStr"/>
      <c r="E12" t="inlineStr"/>
      <c r="F12" t="inlineStr"/>
      <c r="G12" t="inlineStr"/>
      <c r="H12" t="inlineStr"/>
    </row>
    <row r="13">
      <c r="A13" t="inlineStr">
        <is>
          <t>Encounter.location</t>
        </is>
      </c>
      <c r="B13" t="inlineStr"/>
      <c r="C13" t="inlineStr"/>
      <c r="D13" t="inlineStr"/>
      <c r="E13" t="inlineStr"/>
      <c r="F13" t="inlineStr"/>
      <c r="G13" t="inlineStr"/>
      <c r="H13" t="inlineStr"/>
    </row>
    <row r="14">
      <c r="A14" t="inlineStr">
        <is>
          <t>Encounter.participant</t>
        </is>
      </c>
      <c r="B14" t="inlineStr"/>
      <c r="C14" t="inlineStr"/>
      <c r="D14" t="inlineStr"/>
      <c r="E14" t="inlineStr"/>
      <c r="F14" t="inlineStr"/>
      <c r="G14" t="inlineStr"/>
      <c r="H14" t="inlineStr"/>
    </row>
    <row r="15">
      <c r="A15" t="inlineStr">
        <is>
          <t>Encounter.period.end</t>
        </is>
      </c>
      <c r="B15" t="inlineStr"/>
      <c r="C15" t="inlineStr"/>
      <c r="D15" t="inlineStr"/>
      <c r="E15" t="inlineStr"/>
      <c r="F15" t="inlineStr"/>
      <c r="G15" t="inlineStr"/>
      <c r="H15" t="inlineStr"/>
    </row>
    <row r="16">
      <c r="A16" t="inlineStr">
        <is>
          <t>Encounter.period.start</t>
        </is>
      </c>
      <c r="B16" t="inlineStr"/>
      <c r="C16" t="inlineStr"/>
      <c r="D16" t="inlineStr"/>
      <c r="E16" t="inlineStr"/>
      <c r="F16" t="inlineStr"/>
      <c r="G16" t="inlineStr"/>
      <c r="H16" t="inlineStr"/>
    </row>
    <row r="17">
      <c r="A17" t="inlineStr">
        <is>
          <t>Encounter.reasonCode</t>
        </is>
      </c>
      <c r="B17" t="inlineStr"/>
      <c r="C17" t="inlineStr"/>
      <c r="D17" t="inlineStr"/>
      <c r="E17" t="inlineStr"/>
      <c r="F17" t="inlineStr"/>
      <c r="G17" t="inlineStr"/>
      <c r="H17" t="inlineStr"/>
    </row>
    <row r="18">
      <c r="A18" t="inlineStr">
        <is>
          <t>Encounter.serviceProvider</t>
        </is>
      </c>
      <c r="B18" t="inlineStr"/>
      <c r="C18" t="inlineStr"/>
      <c r="D18" t="inlineStr"/>
      <c r="E18" t="inlineStr"/>
      <c r="F18" t="inlineStr"/>
      <c r="G18" t="inlineStr"/>
      <c r="H18" t="inlineStr"/>
    </row>
    <row r="19">
      <c r="A19" t="inlineStr">
        <is>
          <t>Encounter.serviceType</t>
        </is>
      </c>
      <c r="B19" t="inlineStr"/>
      <c r="C19" t="inlineStr"/>
      <c r="D19" t="inlineStr"/>
      <c r="E19" t="inlineStr"/>
      <c r="F19" t="inlineStr"/>
      <c r="G19" t="inlineStr"/>
      <c r="H19" t="inlineStr"/>
    </row>
    <row r="20">
      <c r="A20" t="inlineStr">
        <is>
          <t>Patient.address</t>
        </is>
      </c>
      <c r="B20" t="inlineStr"/>
      <c r="C20" t="inlineStr"/>
      <c r="D20" t="inlineStr"/>
      <c r="E20" t="inlineStr"/>
      <c r="F20" t="inlineStr"/>
      <c r="G20" t="inlineStr"/>
      <c r="H20" t="inlineStr"/>
    </row>
    <row r="21">
      <c r="A21" t="inlineStr">
        <is>
          <t>Patient.address_block</t>
        </is>
      </c>
      <c r="B21" t="inlineStr"/>
      <c r="C21" t="inlineStr"/>
      <c r="D21" t="inlineStr"/>
      <c r="E21" t="inlineStr"/>
      <c r="F21" t="inlineStr"/>
      <c r="G21" t="inlineStr"/>
      <c r="H21" t="inlineStr"/>
    </row>
    <row r="22">
      <c r="A22" t="inlineStr">
        <is>
          <t>Patient.address_city</t>
        </is>
      </c>
      <c r="B22" t="inlineStr"/>
      <c r="C22" t="inlineStr"/>
      <c r="D22" t="inlineStr"/>
      <c r="E22" t="inlineStr"/>
      <c r="F22" t="inlineStr"/>
      <c r="G22" t="inlineStr"/>
      <c r="H22" t="inlineStr"/>
    </row>
    <row r="23">
      <c r="A23" t="inlineStr">
        <is>
          <t>Patient.address_country</t>
        </is>
      </c>
      <c r="B23" t="inlineStr"/>
      <c r="C23" t="inlineStr"/>
      <c r="D23" t="inlineStr"/>
      <c r="E23" t="inlineStr"/>
      <c r="F23" t="inlineStr"/>
      <c r="G23" t="inlineStr"/>
      <c r="H23" t="inlineStr"/>
    </row>
    <row r="24">
      <c r="A24" t="inlineStr">
        <is>
          <t>Patient.address_district</t>
        </is>
      </c>
      <c r="B24" t="inlineStr"/>
      <c r="C24" t="inlineStr"/>
      <c r="D24" t="inlineStr"/>
      <c r="E24" t="inlineStr"/>
      <c r="F24" t="inlineStr"/>
      <c r="G24" t="inlineStr"/>
      <c r="H24" t="inlineStr"/>
    </row>
    <row r="25">
      <c r="A25" t="inlineStr">
        <is>
          <t>Patient.address_line1</t>
        </is>
      </c>
      <c r="B25" t="inlineStr"/>
      <c r="C25" t="inlineStr"/>
      <c r="D25" t="inlineStr"/>
      <c r="E25" t="inlineStr"/>
      <c r="F25" t="inlineStr"/>
      <c r="G25" t="inlineStr"/>
      <c r="H25" t="inlineStr"/>
    </row>
    <row r="26">
      <c r="A26" t="inlineStr">
        <is>
          <t>Patient.address_line2</t>
        </is>
      </c>
      <c r="B26" t="inlineStr"/>
      <c r="C26" t="inlineStr"/>
      <c r="D26" t="inlineStr"/>
      <c r="E26" t="inlineStr"/>
      <c r="F26" t="inlineStr"/>
      <c r="G26" t="inlineStr"/>
      <c r="H26" t="inlineStr"/>
    </row>
    <row r="27">
      <c r="A27" t="inlineStr">
        <is>
          <t>Patient.address_line3</t>
        </is>
      </c>
      <c r="B27" t="inlineStr"/>
      <c r="C27" t="inlineStr"/>
      <c r="D27" t="inlineStr"/>
      <c r="E27" t="inlineStr"/>
      <c r="F27" t="inlineStr"/>
      <c r="G27" t="inlineStr"/>
      <c r="H27" t="inlineStr"/>
    </row>
    <row r="28">
      <c r="A28" t="inlineStr">
        <is>
          <t>Patient.address_prev</t>
        </is>
      </c>
      <c r="B28" t="inlineStr"/>
      <c r="C28" t="inlineStr"/>
      <c r="D28" t="inlineStr"/>
      <c r="E28" t="inlineStr"/>
      <c r="F28" t="inlineStr"/>
      <c r="G28" t="inlineStr"/>
      <c r="H28" t="inlineStr"/>
    </row>
    <row r="29">
      <c r="A29" t="inlineStr">
        <is>
          <t>Patient.address_state</t>
        </is>
      </c>
      <c r="B29" t="inlineStr"/>
      <c r="C29" t="inlineStr"/>
      <c r="D29" t="inlineStr"/>
      <c r="E29" t="inlineStr"/>
      <c r="F29" t="inlineStr"/>
      <c r="G29" t="inlineStr"/>
      <c r="H29" t="inlineStr"/>
    </row>
    <row r="30">
      <c r="A30" t="inlineStr">
        <is>
          <t>Patient.address_zip</t>
        </is>
      </c>
      <c r="B30" t="inlineStr"/>
      <c r="C30" t="inlineStr"/>
      <c r="D30" t="inlineStr"/>
      <c r="E30" t="inlineStr"/>
      <c r="F30" t="inlineStr"/>
      <c r="G30" t="inlineStr"/>
      <c r="H30" t="inlineStr"/>
    </row>
    <row r="31">
      <c r="A31" t="inlineStr">
        <is>
          <t>Patient.birth_date</t>
        </is>
      </c>
      <c r="B31" t="inlineStr"/>
      <c r="C31" t="inlineStr"/>
      <c r="D31" t="inlineStr"/>
      <c r="E31" t="inlineStr"/>
      <c r="F31" t="inlineStr"/>
      <c r="G31" t="inlineStr"/>
      <c r="H31" t="inlineStr"/>
    </row>
    <row r="32">
      <c r="A32" t="inlineStr">
        <is>
          <t>Patient.death_date</t>
        </is>
      </c>
      <c r="B32" t="inlineStr"/>
      <c r="C32" t="inlineStr"/>
      <c r="D32" t="inlineStr"/>
      <c r="E32" t="inlineStr"/>
      <c r="F32" t="inlineStr"/>
      <c r="G32" t="inlineStr"/>
      <c r="H32" t="inlineStr"/>
    </row>
    <row r="33">
      <c r="A33" t="inlineStr">
        <is>
          <t>Patient.email</t>
        </is>
      </c>
      <c r="B33" t="inlineStr"/>
      <c r="C33" t="inlineStr"/>
      <c r="D33" t="inlineStr"/>
      <c r="E33" t="inlineStr"/>
      <c r="F33" t="inlineStr"/>
      <c r="G33" t="inlineStr"/>
      <c r="H33" t="inlineStr"/>
    </row>
    <row r="34">
      <c r="A34" t="inlineStr">
        <is>
          <t>Patient.housing_status</t>
        </is>
      </c>
      <c r="B34" t="inlineStr"/>
      <c r="C34" t="inlineStr"/>
      <c r="D34" t="inlineStr"/>
      <c r="E34" t="inlineStr"/>
      <c r="F34" t="inlineStr"/>
      <c r="G34" t="inlineStr"/>
      <c r="H34" t="inlineStr"/>
    </row>
    <row r="35">
      <c r="A35" t="inlineStr">
        <is>
          <t>Patient.marital_status</t>
        </is>
      </c>
      <c r="B35" t="inlineStr"/>
      <c r="C35" t="inlineStr"/>
      <c r="D35" t="inlineStr"/>
      <c r="E35" t="inlineStr"/>
      <c r="F35" t="inlineStr"/>
      <c r="G35" t="inlineStr"/>
      <c r="H35" t="inlineStr"/>
    </row>
    <row r="36">
      <c r="A36" t="inlineStr">
        <is>
          <t>Patient.name_first</t>
        </is>
      </c>
      <c r="B36" t="inlineStr"/>
      <c r="C36" t="inlineStr"/>
      <c r="D36" t="inlineStr"/>
      <c r="E36" t="inlineStr"/>
      <c r="F36" t="inlineStr"/>
      <c r="G36" t="inlineStr"/>
      <c r="H36" t="inlineStr"/>
    </row>
    <row r="37">
      <c r="A37" t="inlineStr">
        <is>
          <t>Patient.name_last</t>
        </is>
      </c>
      <c r="B37" t="inlineStr"/>
      <c r="C37" t="inlineStr"/>
      <c r="D37" t="inlineStr"/>
      <c r="E37" t="inlineStr"/>
      <c r="F37" t="inlineStr"/>
      <c r="G37" t="inlineStr"/>
      <c r="H37" t="inlineStr"/>
    </row>
    <row r="38">
      <c r="A38" t="inlineStr">
        <is>
          <t>Patient.name_middle</t>
        </is>
      </c>
      <c r="B38" t="inlineStr"/>
      <c r="C38" t="inlineStr"/>
      <c r="D38" t="inlineStr"/>
      <c r="E38" t="inlineStr"/>
      <c r="F38" t="inlineStr"/>
      <c r="G38" t="inlineStr"/>
      <c r="H38" t="inlineStr"/>
    </row>
    <row r="39">
      <c r="A39" t="inlineStr">
        <is>
          <t>Patient.name_prev</t>
        </is>
      </c>
      <c r="B39" t="inlineStr"/>
      <c r="C39" t="inlineStr"/>
      <c r="D39" t="inlineStr"/>
      <c r="E39" t="inlineStr"/>
      <c r="F39" t="inlineStr"/>
      <c r="G39" t="inlineStr"/>
      <c r="H39" t="inlineStr"/>
    </row>
    <row r="40">
      <c r="A40" t="inlineStr">
        <is>
          <t>Patient.name_suffix</t>
        </is>
      </c>
      <c r="B40" t="inlineStr"/>
      <c r="C40" t="inlineStr"/>
      <c r="D40" t="inlineStr"/>
      <c r="E40" t="inlineStr"/>
      <c r="F40" t="inlineStr"/>
      <c r="G40" t="inlineStr"/>
      <c r="H40" t="inlineStr"/>
    </row>
    <row r="41">
      <c r="A41" t="inlineStr">
        <is>
          <t>Patient.occupation</t>
        </is>
      </c>
      <c r="B41" t="inlineStr"/>
      <c r="C41" t="inlineStr"/>
      <c r="D41" t="inlineStr"/>
      <c r="E41" t="inlineStr"/>
      <c r="F41" t="inlineStr"/>
      <c r="G41" t="inlineStr"/>
      <c r="H41" t="inlineStr"/>
    </row>
    <row r="42">
      <c r="A42" t="inlineStr">
        <is>
          <t>Patient.phone</t>
        </is>
      </c>
      <c r="B42" t="inlineStr"/>
      <c r="C42" t="inlineStr"/>
      <c r="D42" t="inlineStr"/>
      <c r="E42" t="inlineStr"/>
      <c r="F42" t="inlineStr"/>
      <c r="G42" t="inlineStr"/>
      <c r="H42" t="inlineStr"/>
    </row>
    <row r="43">
      <c r="A43" t="inlineStr">
        <is>
          <t>Patient.related_person</t>
        </is>
      </c>
      <c r="B43" t="inlineStr"/>
      <c r="C43" t="inlineStr"/>
      <c r="D43" t="inlineStr"/>
      <c r="E43" t="inlineStr"/>
      <c r="F43" t="inlineStr"/>
      <c r="G43" t="inlineStr"/>
      <c r="H43" t="inlineStr"/>
    </row>
    <row r="44">
      <c r="A44" t="inlineStr">
        <is>
          <t>Patient.religion</t>
        </is>
      </c>
      <c r="B44" t="inlineStr"/>
      <c r="C44" t="inlineStr"/>
      <c r="D44" t="inlineStr"/>
      <c r="E44" t="inlineStr"/>
      <c r="F44" t="inlineStr"/>
      <c r="G44" t="inlineStr"/>
      <c r="H44" t="inlineStr"/>
    </row>
    <row r="45">
      <c r="A45" t="inlineStr">
        <is>
          <t>Patient.sexual_orient</t>
        </is>
      </c>
      <c r="B45" t="inlineStr"/>
      <c r="C45" t="inlineStr"/>
      <c r="D45" t="inlineStr"/>
      <c r="E45" t="inlineStr"/>
      <c r="F45" t="inlineStr"/>
      <c r="G45" t="inlineStr"/>
      <c r="H45" t="inlineStr"/>
    </row>
    <row r="46">
      <c r="A46" t="inlineStr">
        <is>
          <t>Patient.ssn</t>
        </is>
      </c>
      <c r="B46" t="inlineStr"/>
      <c r="C46" t="inlineStr"/>
      <c r="D46" t="inlineStr"/>
      <c r="E46" t="inlineStr"/>
      <c r="F46" t="inlineStr"/>
      <c r="G46" t="inlineStr"/>
      <c r="H46" t="inlineStr"/>
    </row>
    <row r="47">
      <c r="A47" t="inlineStr">
        <is>
          <t>Patient.tribal_affil</t>
        </is>
      </c>
      <c r="B47" t="inlineStr"/>
      <c r="C47" t="inlineStr"/>
      <c r="D47" t="inlineStr"/>
      <c r="E47" t="inlineStr"/>
      <c r="F47" t="inlineStr"/>
      <c r="G47" t="inlineStr"/>
      <c r="H47"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72" customWidth="1" min="2" max="2"/>
  </cols>
  <sheetData>
    <row r="1">
      <c r="A1" s="5" t="inlineStr">
        <is>
          <t>Concept Explorer</t>
        </is>
      </c>
    </row>
    <row r="2">
      <c r="A2" t="inlineStr">
        <is>
          <t>Change semantic_id in B3 to preview catalog, dictionary, ADT/CCDA context, and sources. ADT/CCDA show first matching row; see ADT_Mappings and CCDA_Mappings for full lists.</t>
        </is>
      </c>
    </row>
    <row r="3">
      <c r="A3" t="inlineStr">
        <is>
          <t>semantic_id</t>
        </is>
      </c>
      <c r="B3" t="inlineStr">
        <is>
          <t>Patient.race</t>
        </is>
      </c>
    </row>
    <row r="4">
      <c r="A4" s="6" t="inlineStr">
        <is>
          <t>Field</t>
        </is>
      </c>
      <c r="B4" s="6" t="inlineStr">
        <is>
          <t>Value</t>
        </is>
      </c>
    </row>
    <row r="5">
      <c r="A5" t="inlineStr">
        <is>
          <t>USCDI element</t>
        </is>
      </c>
      <c r="B5" s="2">
        <f>IF($B$3="","",IFERROR(INDEX(chi_catalog[uscdi_element],MATCH($B$3,chi_catalog[semantic_id],0)),""))</f>
        <v/>
      </c>
    </row>
    <row r="6">
      <c r="A6" t="inlineStr">
        <is>
          <t>USCDI description</t>
        </is>
      </c>
      <c r="B6" s="2">
        <f>IF($B$3="","",IFERROR(INDEX(chi_catalog[uscdi_description],MATCH($B$3,chi_catalog[semantic_id],0)),""))</f>
        <v/>
      </c>
    </row>
    <row r="7">
      <c r="A7" t="inlineStr">
        <is>
          <t>Classification</t>
        </is>
      </c>
      <c r="B7" s="2">
        <f>IF($B$3="","",IFERROR(INDEX(chi_catalog[classification],MATCH($B$3,chi_catalog[semantic_id],0)),""))</f>
        <v/>
      </c>
    </row>
    <row r="8">
      <c r="A8" t="inlineStr">
        <is>
          <t>Data steward</t>
        </is>
      </c>
      <c r="B8" s="2">
        <f>IF($B$3="","",IFERROR(INDEX(chi_catalog[data_steward],MATCH($B$3,chi_catalog[semantic_id],0)),""))</f>
        <v/>
      </c>
    </row>
    <row r="9">
      <c r="A9" t="inlineStr">
        <is>
          <t>Approval status</t>
        </is>
      </c>
      <c r="B9" s="2">
        <f>IF($B$3="","",IFERROR(INDEX(chi_catalog[approval_status],MATCH($B$3,chi_catalog[semantic_id],0)),""))</f>
        <v/>
      </c>
    </row>
    <row r="10">
      <c r="A10" t="inlineStr">
        <is>
          <t>FHIR R4 path</t>
        </is>
      </c>
      <c r="B10" s="2">
        <f>IF($B$3="","",IFERROR(INDEX(chi_dictionary[fhir_r4_path],MATCH($B$3,chi_dictionary[semantic_id],0)),""))</f>
        <v/>
      </c>
    </row>
    <row r="11">
      <c r="A11" t="inlineStr">
        <is>
          <t>US Core profile</t>
        </is>
      </c>
      <c r="B11" s="2">
        <f>IF($B$3="","",IFERROR(INDEX(chi_dictionary[fhir_profile],MATCH($B$3,chi_dictionary[semantic_id],0)),""))</f>
        <v/>
      </c>
    </row>
    <row r="12">
      <c r="A12" t="inlineStr">
        <is>
          <t>Terminology / standards notes</t>
        </is>
      </c>
      <c r="B12" s="2">
        <f>IF($B$3="","",IFERROR(INDEX(chi_dictionary[data_quality_notes],MATCH($B$3,chi_dictionary[semantic_id],0)),""))</f>
        <v/>
      </c>
    </row>
    <row r="13">
      <c r="A13" t="inlineStr">
        <is>
          <t>CHI survivorship logic</t>
        </is>
      </c>
      <c r="B13" s="2">
        <f>IF($B$3="","",IFERROR(INDEX(chi_dictionary[chi_survivorship_logic],MATCH($B$3,chi_dictionary[semantic_id],0)),""))</f>
        <v/>
      </c>
    </row>
    <row r="14">
      <c r="A14" t="inlineStr">
        <is>
          <t>Data source rank</t>
        </is>
      </c>
      <c r="B14" s="2">
        <f>IF($B$3="","",IFERROR(INDEX(chi_dictionary[data_source_rank_reference],MATCH($B$3,chi_dictionary[semantic_id],0)),""))</f>
        <v/>
      </c>
    </row>
    <row r="15">
      <c r="A15" t="inlineStr">
        <is>
          <t>HL7 ADT field (first match)</t>
        </is>
      </c>
      <c r="B15" s="2">
        <f>IF($B$3="","",IFERROR(INDEX(chi_adt_mappings[field_id],MATCH($B$3,chi_adt_mappings[semantic_id],0)),""))</f>
        <v/>
      </c>
    </row>
    <row r="16">
      <c r="A16" t="inlineStr">
        <is>
          <t>HL7 ADT segment (first match)</t>
        </is>
      </c>
      <c r="B16" s="2">
        <f>IF($B$3="","",IFERROR(INDEX(chi_adt_mappings[segment_id],MATCH($B$3,chi_adt_mappings[semantic_id],0)),""))</f>
        <v/>
      </c>
    </row>
    <row r="17">
      <c r="A17" t="inlineStr">
        <is>
          <t>C-CDA XML path (first match)</t>
        </is>
      </c>
      <c r="B17" s="2">
        <f>IF($B$3="","",IFERROR(INDEX(chi_ccda_mappings[xml_path],MATCH($B$3,chi_ccda_mappings[semantic_id],0)),""))</f>
        <v/>
      </c>
    </row>
    <row r="18">
      <c r="A18" t="inlineStr">
        <is>
          <t>Governed code (first member)</t>
        </is>
      </c>
      <c r="B18" s="2">
        <f>IF($B$3="","",IFERROR(INDEX(chi_value_set_member[code],MATCH($B$3,chi_value_set_member[semantic_id],0)),""))</f>
        <v/>
      </c>
    </row>
    <row r="19">
      <c r="A19" t="inlineStr">
        <is>
          <t>Governed code display (first member)</t>
        </is>
      </c>
      <c r="B19" s="2">
        <f>IF($B$3="","",IFERROR(INDEX(chi_value_set_member[display],MATCH($B$3,chi_value_set_member[semantic_id],0)),""))</f>
        <v/>
      </c>
    </row>
    <row r="20">
      <c r="A20" t="inlineStr">
        <is>
          <t>Source crosswalk code (first match)</t>
        </is>
      </c>
      <c r="B20" s="2">
        <f>IF($B$3="","",IFERROR(INDEX(chi_source_value_crosswalk[source_code],MATCH($B$3,chi_source_value_crosswalk[semantic_id],0)),""))</f>
        <v/>
      </c>
    </row>
    <row r="21">
      <c r="A21" t="inlineStr">
        <is>
          <t>Primary source (first link)</t>
        </is>
      </c>
      <c r="B21" s="2">
        <f>IF($B$3="","",IFERROR(INDEX(chi_source_availability[source_id],MATCH($B$3,chi_source_availability[semantic_id],0)),""))</f>
        <v/>
      </c>
    </row>
    <row r="22">
      <c r="A22" t="inlineStr">
        <is>
          <t>Source availability</t>
        </is>
      </c>
      <c r="B22" s="2">
        <f>IF($B$3="","",IFERROR(INDEX(chi_source_availability[availability],MATCH($B$3,chi_source_availability[semantic_id],0)),""))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2026-10-05T16:15:57Z</dcterms:created>
  <dcterms:modified xmlns:dcterms="http://purl.org/dc/terms/" xmlns:xsi="http://www.w3.org/2001/XMLSchema-instance" xsi:type="dcterms:W3CDTF">2026-10-05T16:15:57Z</dcterms:modified>
</cp:coreProperties>
</file>