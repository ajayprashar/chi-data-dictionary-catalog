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_Model" sheetId="2" state="hidden" r:id="rId2"/>
    <sheet name="Table_Index" sheetId="3" state="visible" r:id="rId3"/>
    <sheet name="Lookup_Lists" sheetId="4" state="visible" r:id="rId4"/>
    <sheet name="Catalog" sheetId="5" state="visible" r:id="rId5"/>
    <sheet name="Dictionary" sheetId="6" state="visible" r:id="rId6"/>
    <sheet name="Source_Availability" sheetId="7" state="visible" r:id="rId7"/>
    <sheet name="ADT_Mappings" sheetId="8" state="visible" r:id="rId8"/>
    <sheet name="CCDA_Mappings" sheetId="9" state="visible" r:id="rId9"/>
    <sheet name="FHIR_Inventory" sheetId="10" state="visible" r:id="rId10"/>
    <sheet name="Business_Rules" sheetId="11" state="visible" r:id="rId11"/>
    <sheet name="Value_Set_Bindings" sheetId="12" state="visible" r:id="rId12"/>
    <sheet name="Value_Set_Members" sheetId="13" state="visible" r:id="rId13"/>
    <sheet name="Source_Value_Crosswalk" sheetId="14" state="visible" r:id="rId14"/>
    <sheet name="Source_Registry" sheetId="15" state="visible" r:id="rId15"/>
    <sheet name="Steward_Queue" sheetId="16" state="visible" r:id="rId16"/>
    <sheet name="Concept_Explorer" sheetId="17" state="visible" r:id="rId1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chi_table_index" displayName="chi_table_index" ref="A1:D16" headerRowCount="1">
  <autoFilter ref="A1:D16"/>
  <tableColumns count="4">
    <tableColumn id="1" name="excel_table_name"/>
    <tableColumn id="2" name="sheet_tab"/>
    <tableColumn id="3" name="parquet_or_role"/>
    <tableColumn id="4" name="role"/>
  </tableColumns>
  <tableStyleInfo name="TableStyleMedium2" showFirstColumn="0" showLastColumn="0" showRowStripes="1" showColumnStripes="0"/>
</table>
</file>

<file path=xl/tables/table2.xml><?xml version="1.0" encoding="utf-8"?>
<table xmlns="http://schemas.openxmlformats.org/spreadsheetml/2006/main" id="2" name="chi_lookup_lists" displayName="chi_lookup_lists" ref="A1:F47" headerRowCount="1">
  <autoFilter ref="A1:F47"/>
  <tableColumns count="6">
    <tableColumn id="1" name="semantic_id"/>
    <tableColumn id="2" name="source_id"/>
    <tableColumn id="3" name="mapping_status"/>
    <tableColumn id="4" name="approval_status"/>
    <tableColumn id="5" name="availability"/>
    <tableColumn id="6" name="curation_status"/>
  </tableColumns>
  <tableStyleInfo name="TableStyleMedium2" showFirstColumn="0" showLastColumn="0" showRowStripes="1" showColumnStripes="0"/>
</table>
</file>

<file path=xl/tables/table3.xml><?xml version="1.0" encoding="utf-8"?>
<table xmlns="http://schemas.openxmlformats.org/spreadsheetml/2006/main" id="3" name="chi_catalog" displayName="chi_catalog" ref="A1:U47" headerRowCount="1">
  <autoFilter ref="A1:U47"/>
  <tableColumns count="21">
    <tableColumn id="1" name="semantic_id"/>
    <tableColumn id="2" name="uscdi_element"/>
    <tableColumn id="3" name="uscdi_description"/>
    <tableColumn id="4" name="classification"/>
    <tableColumn id="5" name="ruleset_category"/>
    <tableColumn id="6" name="domain"/>
    <tableColumn id="7" name="rollup_relationship"/>
    <tableColumn id="8" name="is_rollup"/>
    <tableColumn id="9" name="composite_group"/>
    <tableColumn id="10" name="data_steward"/>
    <tableColumn id="11" name="steward_contact"/>
    <tableColumn id="12" name="approval_status"/>
    <tableColumn id="13" name="schema_version"/>
    <tableColumn id="14" name="last_modified_date"/>
    <tableColumn id="15" name="identifier_type"/>
    <tableColumn id="16" name="identifier_authority"/>
    <tableColumn id="17" name="hipaa_category"/>
    <tableColumn id="18" name="fhir_security_label"/>
    <tableColumn id="19" name="consent_category"/>
    <tableColumn id="20" name="uscdi_data_class"/>
    <tableColumn id="21" name="uscdi_data_element"/>
  </tableColumns>
  <tableStyleInfo name="TableStyleMedium2" showFirstColumn="0" showLastColumn="0" showRowStripes="1" showColumnStripes="0"/>
</table>
</file>

<file path=xl/tables/table4.xml><?xml version="1.0" encoding="utf-8"?>
<table xmlns="http://schemas.openxmlformats.org/spreadsheetml/2006/main" id="4" name="chi_dictionary" displayName="chi_dictionary" ref="A1:R47" headerRowCount="1">
  <autoFilter ref="A1:R47"/>
  <tableColumns count="18">
    <tableColumn id="1" name="semantic_id"/>
    <tableColumn id="2" name="data_source_rank_reference"/>
    <tableColumn id="3" name="innovaccer_survivorship_logic"/>
    <tableColumn id="4" name="data_quality_notes"/>
    <tableColumn id="5" name="fhir_r4_path"/>
    <tableColumn id="6" name="fhir_data_type"/>
    <tableColumn id="7" name="calculation_grain"/>
    <tableColumn id="8" name="historical_freeze"/>
    <tableColumn id="9" name="recalc_window_months"/>
    <tableColumn id="10" name="fhir_must_support"/>
    <tableColumn id="11" name="fhir_profile"/>
    <tableColumn id="12" name="fhir_cardinality"/>
    <tableColumn id="13" name="identity_resolution_notes"/>
    <tableColumn id="14" name="tie_breaker_rule"/>
    <tableColumn id="15" name="conflict_detection_enabled"/>
    <tableColumn id="16" name="manual_override_allowed"/>
    <tableColumn id="17" name="de_identification_method"/>
    <tableColumn id="18" name="chi_survivorship_logic"/>
  </tableColumns>
  <tableStyleInfo name="TableStyleMedium2" showFirstColumn="0" showLastColumn="0" showRowStripes="1" showColumnStripes="0"/>
</table>
</file>

<file path=xl/tables/table5.xml><?xml version="1.0" encoding="utf-8"?>
<table xmlns="http://schemas.openxmlformats.org/spreadsheetml/2006/main" id="5" name="chi_source_availability" displayName="chi_source_availability" ref="A1:F47" headerRowCount="1">
  <autoFilter ref="A1:F47"/>
  <tableColumns count="6">
    <tableColumn id="1" name="source_id"/>
    <tableColumn id="2" name="semantic_id"/>
    <tableColumn id="3" name="availability"/>
    <tableColumn id="4" name="completeness_pct"/>
    <tableColumn id="5" name="timeliness_sla_hours"/>
    <tableColumn id="6" name="notes"/>
  </tableColumns>
  <tableStyleInfo name="TableStyleMedium2" showFirstColumn="0" showLastColumn="0" showRowStripes="1" showColumnStripes="0"/>
</table>
</file>

<file path=xl/tables/table6.xml><?xml version="1.0" encoding="utf-8"?>
<table xmlns="http://schemas.openxmlformats.org/spreadsheetml/2006/main" id="6" name="chi_adt_mappings" displayName="chi_adt_mappings" ref="A1:L48" headerRowCount="1">
  <autoFilter ref="A1:L48"/>
  <tableColumns count="12">
    <tableColumn id="1" name="message_format"/>
    <tableColumn id="2" name="message_type"/>
    <tableColumn id="3" name="segment_id"/>
    <tableColumn id="4" name="field_id"/>
    <tableColumn id="5" name="field_name"/>
    <tableColumn id="6" name="data_type"/>
    <tableColumn id="7" name="optionality"/>
    <tableColumn id="8" name="cardinality"/>
    <tableColumn id="9" name="semantic_id"/>
    <tableColumn id="10" name="fhir_r4_path"/>
    <tableColumn id="11" name="notes"/>
    <tableColumn id="12" name="mapping_status"/>
  </tableColumns>
  <tableStyleInfo name="TableStyleMedium2" showFirstColumn="0" showLastColumn="0" showRowStripes="1" showColumnStripes="0"/>
</table>
</file>

<file path=xl/tables/table7.xml><?xml version="1.0" encoding="utf-8"?>
<table xmlns="http://schemas.openxmlformats.org/spreadsheetml/2006/main" id="7" name="chi_ccda_mappings" displayName="chi_ccda_mappings" ref="A1:H40" headerRowCount="1">
  <autoFilter ref="A1:H40"/>
  <tableColumns count="8">
    <tableColumn id="1" name="message_format"/>
    <tableColumn id="2" name="section_name"/>
    <tableColumn id="3" name="entry_type"/>
    <tableColumn id="4" name="xml_path"/>
    <tableColumn id="5" name="semantic_id"/>
    <tableColumn id="6" name="fhir_r4_path"/>
    <tableColumn id="7" name="notes"/>
    <tableColumn id="8" name="mapping_status"/>
  </tableColumns>
  <tableStyleInfo name="TableStyleMedium2" showFirstColumn="0" showLastColumn="0" showRowStripes="1" showColumnStripes="0"/>
</table>
</file>

<file path=xl/tables/table8.xml><?xml version="1.0" encoding="utf-8"?>
<table xmlns="http://schemas.openxmlformats.org/spreadsheetml/2006/main" id="8" name="chi_fhir_inventory" displayName="chi_fhir_inventory" ref="A1:L268" headerRowCount="1">
  <autoFilter ref="A1:L268"/>
  <tableColumns count="12">
    <tableColumn id="1" name="inventory_scope"/>
    <tableColumn id="2" name="fhir_version"/>
    <tableColumn id="3" name="fhir_resource"/>
    <tableColumn id="4" name="fhir_path"/>
    <tableColumn id="5" name="fhir_data_type"/>
    <tableColumn id="6" name="fhir_cardinality"/>
    <tableColumn id="7" name="fhir_must_support"/>
    <tableColumn id="8" name="fhir_profile"/>
    <tableColumn id="9" name="fhir_definition"/>
    <tableColumn id="10" name="standard_reference_url"/>
    <tableColumn id="11" name="semantic_id"/>
    <tableColumn id="12" name="mapping_status"/>
  </tableColumns>
  <tableStyleInfo name="TableStyleMedium2" showFirstColumn="0" showLastColumn="0" showRowStripes="1" showColumnStripes="0"/>
</table>
</file>

<file path=xl/tables/table9.xml><?xml version="1.0" encoding="utf-8"?>
<table xmlns="http://schemas.openxmlformats.org/spreadsheetml/2006/main" id="9" name="chi_business_rules" displayName="chi_business_rules" ref="A1:K6" headerRowCount="1">
  <autoFilter ref="A1:K6"/>
  <tableColumns count="11">
    <tableColumn id="1" name="rule_id"/>
    <tableColumn id="2" name="semantic_id"/>
    <tableColumn id="3" name="standard_scope"/>
    <tableColumn id="4" name="rule_name"/>
    <tableColumn id="5" name="rule_type"/>
    <tableColumn id="6" name="rule_expression"/>
    <tableColumn id="7" name="severity"/>
    <tableColumn id="8" name="active"/>
    <tableColumn id="9" name="owner"/>
    <tableColumn id="10" name="approval_status"/>
    <tableColumn id="11" name="notes"/>
  </tableColumns>
  <tableStyleInfo name="TableStyleMedium2" showFirstColumn="0" showLastColumn="0" showRowStripes="1" showColumnStripes="0"/>
</table>
</file>

<file path=xl/tables/table10.xml><?xml version="1.0" encoding="utf-8"?>
<table xmlns="http://schemas.openxmlformats.org/spreadsheetml/2006/main" id="10" name="chi_value_set_binding" displayName="chi_value_set_binding" ref="A1:K6" headerRowCount="1">
  <autoFilter ref="A1:K6"/>
  <tableColumns count="11">
    <tableColumn id="1" name="semantic_id"/>
    <tableColumn id="2" name="binding_role"/>
    <tableColumn id="3" name="value_set_name"/>
    <tableColumn id="4" name="value_set_url"/>
    <tableColumn id="5" name="code_system_oid"/>
    <tableColumn id="6" name="code_system_name"/>
    <tableColumn id="7" name="binding_strength"/>
    <tableColumn id="8" name="fhir_element"/>
    <tableColumn id="9" name="authority_reference"/>
    <tableColumn id="10" name="approval_status"/>
    <tableColumn id="11" name="notes"/>
  </tableColumns>
  <tableStyleInfo name="TableStyleMedium2" showFirstColumn="0" showLastColumn="0" showRowStripes="1" showColumnStripes="0"/>
</table>
</file>

<file path=xl/tables/table11.xml><?xml version="1.0" encoding="utf-8"?>
<table xmlns="http://schemas.openxmlformats.org/spreadsheetml/2006/main" id="11" name="chi_value_set_member" displayName="chi_value_set_member" ref="A1:J22" headerRowCount="1">
  <autoFilter ref="A1:J22"/>
  <tableColumns count="10">
    <tableColumn id="1" name="semantic_id"/>
    <tableColumn id="2" name="code_system_oid"/>
    <tableColumn id="3" name="code"/>
    <tableColumn id="4" name="display"/>
    <tableColumn id="5" name="member_type"/>
    <tableColumn id="6" name="binding_role"/>
    <tableColumn id="7" name="binding_strength"/>
    <tableColumn id="8" name="active"/>
    <tableColumn id="9" name="sort_order"/>
    <tableColumn id="10" name="notes"/>
  </tableColumns>
  <tableStyleInfo name="TableStyleMedium2" showFirstColumn="0" showLastColumn="0" showRowStripes="1" showColumnStripes="0"/>
</table>
</file>

<file path=xl/tables/table12.xml><?xml version="1.0" encoding="utf-8"?>
<table xmlns="http://schemas.openxmlformats.org/spreadsheetml/2006/main" id="12" name="chi_source_value_crosswalk" displayName="chi_source_value_crosswalk" ref="A1:M5" headerRowCount="1">
  <autoFilter ref="A1:M5"/>
  <tableColumns count="13">
    <tableColumn id="1" name="source_id"/>
    <tableColumn id="2" name="source_field"/>
    <tableColumn id="3" name="source_code"/>
    <tableColumn id="4" name="source_display"/>
    <tableColumn id="5" name="semantic_id"/>
    <tableColumn id="6" name="target_code_system_oid"/>
    <tableColumn id="7" name="target_code"/>
    <tableColumn id="8" name="target_display"/>
    <tableColumn id="9" name="mapping_type"/>
    <tableColumn id="10" name="approval_status"/>
    <tableColumn id="11" name="effective_from"/>
    <tableColumn id="12" name="effective_to"/>
    <tableColumn id="13" name="notes"/>
  </tableColumns>
  <tableStyleInfo name="TableStyleMedium2" showFirstColumn="0" showLastColumn="0" showRowStripes="1" showColumnStripes="0"/>
</table>
</file>

<file path=xl/tables/table13.xml><?xml version="1.0" encoding="utf-8"?>
<table xmlns="http://schemas.openxmlformats.org/spreadsheetml/2006/main" id="13" name="chi_source_registry" displayName="chi_source_registry" ref="A1:E2" headerRowCount="1">
  <autoFilter ref="A1:E2"/>
  <tableColumns count="5">
    <tableColumn id="1" name="source_id"/>
    <tableColumn id="2" name="source_name"/>
    <tableColumn id="3" name="organization"/>
    <tableColumn id="4" name="delivery_format"/>
    <tableColumn id="5" name="notes"/>
  </tableColumns>
  <tableStyleInfo name="TableStyleMedium2" showFirstColumn="0" showLastColumn="0" showRowStripes="1" showColumnStripes="0"/>
</table>
</file>

<file path=xl/tables/table14.xml><?xml version="1.0" encoding="utf-8"?>
<table xmlns="http://schemas.openxmlformats.org/spreadsheetml/2006/main" id="14" name="chi_steward_queue" displayName="chi_steward_queue" ref="A1:H47" headerRowCount="1">
  <autoFilter ref="A1:H47"/>
  <tableColumns count="8">
    <tableColumn id="1" name="semantic_id"/>
    <tableColumn id="2" name="curation_status"/>
    <tableColumn id="3" name="steward_assigned_to"/>
    <tableColumn id="4" name="steward_action_notes"/>
    <tableColumn id="5" name="reviewer_notes"/>
    <tableColumn id="6" name="priority"/>
    <tableColumn id="7" name="queue_type"/>
    <tableColumn id="8"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Start here</t>
        </is>
      </c>
      <c r="B3" s="2" t="inlineStr"/>
    </row>
    <row r="4">
      <c r="A4" s="2" t="inlineStr">
        <is>
          <t xml:space="preserve">  1.</t>
        </is>
      </c>
      <c r="B4" s="2" t="inlineStr">
        <is>
          <t>Open Concept_Explorer - B3 defaults to Patient.race; try the other demographics pilot IDs next.</t>
        </is>
      </c>
    </row>
    <row r="5">
      <c r="A5" s="2" t="inlineStr">
        <is>
          <t xml:space="preserve">  2.</t>
        </is>
      </c>
      <c r="B5" s="2" t="inlineStr">
        <is>
          <t>Demographics pilot: Patient.race, Patient.ethnicity, Patient.language, Patient.gender_id, Patient.birth_sex.</t>
        </is>
      </c>
    </row>
    <row r="6">
      <c r="A6" s="2" t="inlineStr">
        <is>
          <t xml:space="preserve">  3.</t>
        </is>
      </c>
      <c r="B6" s="2" t="inlineStr">
        <is>
          <t>Edit Catalog and Dictionary for each concept; use Lookup_Lists for allowed status values.</t>
        </is>
      </c>
    </row>
    <row r="7">
      <c r="A7" s="2" t="inlineStr">
        <is>
          <t xml:space="preserve">  4.</t>
        </is>
      </c>
      <c r="B7" s="2" t="inlineStr">
        <is>
          <t>Check Source_Availability for source_id links; use Steward_Queue for workflow notes.</t>
        </is>
      </c>
    </row>
    <row r="8">
      <c r="A8" s="2" t="inlineStr">
        <is>
          <t xml:space="preserve">  5.</t>
        </is>
      </c>
      <c r="B8" s="2" t="inlineStr">
        <is>
          <t>When ready: python scripts/import_steward_workbook_to_parquet.py</t>
        </is>
      </c>
    </row>
    <row r="9">
      <c r="A9" s="2" t="n"/>
      <c r="B9" s="2" t="n"/>
    </row>
    <row r="10">
      <c r="A10" s="2" t="inlineStr">
        <is>
          <t>Purpose</t>
        </is>
      </c>
      <c r="B10" s="2" t="inlineStr">
        <is>
          <t>Governed data catalog + dictionary over ddc-* parquet, curated to healthcare standards, with HL7 ADT and C-CDA context sheets. See docs/product-vision.md.</t>
        </is>
      </c>
    </row>
    <row r="11">
      <c r="A11" s="2" t="inlineStr">
        <is>
          <t>Table naming</t>
        </is>
      </c>
      <c r="B11" s="2" t="inlineStr">
        <is>
          <t>Pattern: chi_{artifact} in snake_case. Examples: chi_catalog, chi_dictionary, chi_source_availability.</t>
        </is>
      </c>
    </row>
    <row r="12">
      <c r="A12" s="2" t="inlineStr">
        <is>
          <t>Table_Index</t>
        </is>
      </c>
      <c r="B12" s="2" t="inlineStr">
        <is>
          <t>Maps every sheet to role (Start here, Source linking, Mappings, Workflow, Reference), Excel Table name, and parquet artifact.</t>
        </is>
      </c>
    </row>
    <row r="13">
      <c r="A13" s="2" t="inlineStr">
        <is>
          <t>Join key</t>
        </is>
      </c>
      <c r="B13" s="2" t="inlineStr">
        <is>
          <t>semantic_id links chi_catalog to chi_dictionary, chi_source_availability, and mapping tables.</t>
        </is>
      </c>
    </row>
    <row r="14">
      <c r="A14" s="2" t="inlineStr">
        <is>
          <t>Concept_Explorer</t>
        </is>
      </c>
      <c r="B14" s="2" t="inlineStr">
        <is>
          <t>Change semantic_id in B3 to preview catalog, dictionary, and source fields on one row.</t>
        </is>
      </c>
    </row>
    <row r="15">
      <c r="A15" s="2" t="inlineStr">
        <is>
          <t>Steward_Queue</t>
        </is>
      </c>
      <c r="B15" s="2" t="inlineStr">
        <is>
          <t>Demographics pilot concepts are listed first with suggested next actions. Track curation_status and steward notes here (not imported to parquet).</t>
        </is>
      </c>
    </row>
    <row r="16">
      <c r="A16" s="2" t="inlineStr">
        <is>
          <t>Round trip</t>
        </is>
      </c>
      <c r="B16" s="2" t="inlineStr">
        <is>
          <t>python scripts/generate_steward_workbook.py exports parquet to Excel. python scripts/import_steward_workbook_to_parquet.py writes edits back to parquet.</t>
        </is>
      </c>
    </row>
    <row r="17">
      <c r="A17" s="2" t="inlineStr">
        <is>
          <t>Do not import</t>
        </is>
      </c>
      <c r="B17" s="2" t="inlineStr">
        <is>
          <t>README, _Model, Table_Index, Lookup_Lists, Concept_Explorer are support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8" customWidth="1" min="4" max="4"/>
    <col width="13" customWidth="1" min="5" max="5"/>
    <col width="13" customWidth="1" min="6" max="6"/>
    <col width="38" customWidth="1" min="7" max="7"/>
  </cols>
  <sheetData>
    <row r="1">
      <c r="A1" s="3" t="inlineStr">
        <is>
          <t>rel_id</t>
        </is>
      </c>
      <c r="B1" s="3" t="inlineStr">
        <is>
          <t>parent_table</t>
        </is>
      </c>
      <c r="C1" s="3" t="inlineStr">
        <is>
          <t>parent_key</t>
        </is>
      </c>
      <c r="D1" s="3" t="inlineStr">
        <is>
          <t>child_table</t>
        </is>
      </c>
      <c r="E1" s="3" t="inlineStr">
        <is>
          <t>child_key</t>
        </is>
      </c>
      <c r="F1" s="3" t="inlineStr">
        <is>
          <t>cardinality</t>
        </is>
      </c>
      <c r="G1" s="3" t="inlineStr">
        <is>
          <t>description</t>
        </is>
      </c>
    </row>
    <row r="2">
      <c r="A2" t="inlineStr">
        <is>
          <t>catalog_dictionary</t>
        </is>
      </c>
      <c r="B2" t="inlineStr">
        <is>
          <t>chi_catalog</t>
        </is>
      </c>
      <c r="C2" t="inlineStr">
        <is>
          <t>semantic_id</t>
        </is>
      </c>
      <c r="D2" t="inlineStr">
        <is>
          <t>chi_dictionary</t>
        </is>
      </c>
      <c r="E2" t="inlineStr">
        <is>
          <t>semantic_id</t>
        </is>
      </c>
      <c r="F2" t="inlineStr">
        <is>
          <t>1:1</t>
        </is>
      </c>
      <c r="G2" t="inlineStr">
        <is>
          <t>Each governed concept has one implementation definition row.</t>
        </is>
      </c>
    </row>
    <row r="3">
      <c r="A3" t="inlineStr">
        <is>
          <t>catalog_source_availability</t>
        </is>
      </c>
      <c r="B3" t="inlineStr">
        <is>
          <t>chi_catalog</t>
        </is>
      </c>
      <c r="C3" t="inlineStr">
        <is>
          <t>semantic_id</t>
        </is>
      </c>
      <c r="D3" t="inlineStr">
        <is>
          <t>chi_source_availability</t>
        </is>
      </c>
      <c r="E3" t="inlineStr">
        <is>
          <t>semantic_id</t>
        </is>
      </c>
      <c r="F3" t="inlineStr">
        <is>
          <t>1:N</t>
        </is>
      </c>
      <c r="G3" t="inlineStr">
        <is>
          <t>Links each concept to the data sources that can provide it.</t>
        </is>
      </c>
    </row>
    <row r="4">
      <c r="A4" t="inlineStr">
        <is>
          <t>catalog_adt</t>
        </is>
      </c>
      <c r="B4" t="inlineStr">
        <is>
          <t>chi_catalog</t>
        </is>
      </c>
      <c r="C4" t="inlineStr">
        <is>
          <t>semantic_id</t>
        </is>
      </c>
      <c r="D4" t="inlineStr">
        <is>
          <t>chi_adt_mappings</t>
        </is>
      </c>
      <c r="E4" t="inlineStr">
        <is>
          <t>semantic_id</t>
        </is>
      </c>
      <c r="F4" t="inlineStr">
        <is>
          <t>1:N</t>
        </is>
      </c>
      <c r="G4" t="inlineStr">
        <is>
          <t>HL7 ADT segment/field placements for the same concept.</t>
        </is>
      </c>
    </row>
    <row r="5">
      <c r="A5" t="inlineStr">
        <is>
          <t>catalog_ccda</t>
        </is>
      </c>
      <c r="B5" t="inlineStr">
        <is>
          <t>chi_catalog</t>
        </is>
      </c>
      <c r="C5" t="inlineStr">
        <is>
          <t>semantic_id</t>
        </is>
      </c>
      <c r="D5" t="inlineStr">
        <is>
          <t>chi_ccda_mappings</t>
        </is>
      </c>
      <c r="E5" t="inlineStr">
        <is>
          <t>semantic_id</t>
        </is>
      </c>
      <c r="F5" t="inlineStr">
        <is>
          <t>1:N</t>
        </is>
      </c>
      <c r="G5" t="inlineStr">
        <is>
          <t>C-CDA/CCD XML paths for the same concept.</t>
        </is>
      </c>
    </row>
    <row r="6">
      <c r="A6" t="inlineStr">
        <is>
          <t>catalog_fhir_inventory</t>
        </is>
      </c>
      <c r="B6" t="inlineStr">
        <is>
          <t>chi_catalog</t>
        </is>
      </c>
      <c r="C6" t="inlineStr">
        <is>
          <t>semantic_id</t>
        </is>
      </c>
      <c r="D6" t="inlineStr">
        <is>
          <t>chi_fhir_inventory</t>
        </is>
      </c>
      <c r="E6" t="inlineStr">
        <is>
          <t>semantic_id</t>
        </is>
      </c>
      <c r="F6" t="inlineStr">
        <is>
          <t>1:N</t>
        </is>
      </c>
      <c r="G6" t="inlineStr">
        <is>
          <t>FHIR standards inventory rows tied to the concept.</t>
        </is>
      </c>
    </row>
    <row r="7">
      <c r="A7" t="inlineStr">
        <is>
          <t>catalog_business_rules</t>
        </is>
      </c>
      <c r="B7" t="inlineStr">
        <is>
          <t>chi_catalog</t>
        </is>
      </c>
      <c r="C7" t="inlineStr">
        <is>
          <t>semantic_id</t>
        </is>
      </c>
      <c r="D7" t="inlineStr">
        <is>
          <t>chi_business_rules</t>
        </is>
      </c>
      <c r="E7" t="inlineStr">
        <is>
          <t>semantic_id</t>
        </is>
      </c>
      <c r="F7" t="inlineStr">
        <is>
          <t>1:N</t>
        </is>
      </c>
      <c r="G7" t="inlineStr">
        <is>
          <t>Organization-specific rules for the concept.</t>
        </is>
      </c>
    </row>
    <row r="8">
      <c r="A8" t="inlineStr">
        <is>
          <t>catalog_value_set_binding</t>
        </is>
      </c>
      <c r="B8" t="inlineStr">
        <is>
          <t>chi_catalog</t>
        </is>
      </c>
      <c r="C8" t="inlineStr">
        <is>
          <t>semantic_id</t>
        </is>
      </c>
      <c r="D8" t="inlineStr">
        <is>
          <t>chi_value_set_binding</t>
        </is>
      </c>
      <c r="E8" t="inlineStr">
        <is>
          <t>semantic_id</t>
        </is>
      </c>
      <c r="F8" t="inlineStr">
        <is>
          <t>1:N</t>
        </is>
      </c>
      <c r="G8" t="inlineStr">
        <is>
          <t>Which terminology / value set applies to the concept.</t>
        </is>
      </c>
    </row>
    <row r="9">
      <c r="A9" t="inlineStr">
        <is>
          <t>catalog_value_set_member</t>
        </is>
      </c>
      <c r="B9" t="inlineStr">
        <is>
          <t>chi_catalog</t>
        </is>
      </c>
      <c r="C9" t="inlineStr">
        <is>
          <t>semantic_id</t>
        </is>
      </c>
      <c r="D9" t="inlineStr">
        <is>
          <t>chi_value_set_member</t>
        </is>
      </c>
      <c r="E9" t="inlineStr">
        <is>
          <t>semantic_id</t>
        </is>
      </c>
      <c r="F9" t="inlineStr">
        <is>
          <t>1:N</t>
        </is>
      </c>
      <c r="G9" t="inlineStr">
        <is>
          <t>Governed codes for the concept (CHI subset).</t>
        </is>
      </c>
    </row>
    <row r="10">
      <c r="A10" t="inlineStr">
        <is>
          <t>catalog_source_crosswalk</t>
        </is>
      </c>
      <c r="B10" t="inlineStr">
        <is>
          <t>chi_catalog</t>
        </is>
      </c>
      <c r="C10" t="inlineStr">
        <is>
          <t>semantic_id</t>
        </is>
      </c>
      <c r="D10" t="inlineStr">
        <is>
          <t>chi_source_value_crosswalk</t>
        </is>
      </c>
      <c r="E10" t="inlineStr">
        <is>
          <t>semantic_id</t>
        </is>
      </c>
      <c r="F10" t="inlineStr">
        <is>
          <t>1:N</t>
        </is>
      </c>
      <c r="G10" t="inlineStr">
        <is>
          <t>Source-local values mapped to governed standard codes.</t>
        </is>
      </c>
    </row>
    <row r="11">
      <c r="A11" t="inlineStr">
        <is>
          <t>catalog_steward_queue</t>
        </is>
      </c>
      <c r="B11" t="inlineStr">
        <is>
          <t>chi_catalog</t>
        </is>
      </c>
      <c r="C11" t="inlineStr">
        <is>
          <t>semantic_id</t>
        </is>
      </c>
      <c r="D11" t="inlineStr">
        <is>
          <t>chi_steward_queue</t>
        </is>
      </c>
      <c r="E11" t="inlineStr">
        <is>
          <t>semantic_id</t>
        </is>
      </c>
      <c r="F11" t="inlineStr">
        <is>
          <t>1:1</t>
        </is>
      </c>
      <c r="G11"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8" customWidth="1" min="3" max="3"/>
    <col width="16" customWidth="1" min="4" max="4"/>
  </cols>
  <sheetData>
    <row r="1">
      <c r="A1" s="4" t="inlineStr">
        <is>
          <t>excel_table_name</t>
        </is>
      </c>
      <c r="B1" s="4" t="inlineStr">
        <is>
          <t>sheet_tab</t>
        </is>
      </c>
      <c r="C1" s="4" t="inlineStr">
        <is>
          <t>parquet_or_role</t>
        </is>
      </c>
      <c r="D1" s="4" t="inlineStr">
        <is>
          <t>role</t>
        </is>
      </c>
    </row>
    <row r="2">
      <c r="A2" t="inlineStr">
        <is>
          <t>(support)</t>
        </is>
      </c>
      <c r="B2" t="inlineStr">
        <is>
          <t>Concept_Explorer</t>
        </is>
      </c>
      <c r="C2" t="inlineStr">
        <is>
          <t>(lookup view; not imported)</t>
        </is>
      </c>
      <c r="D2" t="inlineStr">
        <is>
          <t>Start here</t>
        </is>
      </c>
    </row>
    <row r="3">
      <c r="A3" t="inlineStr">
        <is>
          <t>chi_catalog</t>
        </is>
      </c>
      <c r="B3" t="inlineStr">
        <is>
          <t>Catalog</t>
        </is>
      </c>
      <c r="C3" t="inlineStr">
        <is>
          <t>ddc-master_patient_catalog.parquet</t>
        </is>
      </c>
      <c r="D3" t="inlineStr">
        <is>
          <t>Start here</t>
        </is>
      </c>
    </row>
    <row r="4">
      <c r="A4" t="inlineStr">
        <is>
          <t>chi_dictionary</t>
        </is>
      </c>
      <c r="B4" t="inlineStr">
        <is>
          <t>Dictionary</t>
        </is>
      </c>
      <c r="C4" t="inlineStr">
        <is>
          <t>ddc-master_patient_dictionary.parquet</t>
        </is>
      </c>
      <c r="D4" t="inlineStr">
        <is>
          <t>Start here</t>
        </is>
      </c>
    </row>
    <row r="5">
      <c r="A5" t="inlineStr">
        <is>
          <t>chi_source_availability</t>
        </is>
      </c>
      <c r="B5" t="inlineStr">
        <is>
          <t>Source_Availability</t>
        </is>
      </c>
      <c r="C5" t="inlineStr">
        <is>
          <t>ddc-data_source_availability.parquet</t>
        </is>
      </c>
      <c r="D5" t="inlineStr">
        <is>
          <t>Source linking</t>
        </is>
      </c>
    </row>
    <row r="6">
      <c r="A6" t="inlineStr">
        <is>
          <t>chi_source_registry</t>
        </is>
      </c>
      <c r="B6" t="inlineStr">
        <is>
          <t>Source_Registry</t>
        </is>
      </c>
      <c r="C6" t="inlineStr">
        <is>
          <t>(steward metadata)</t>
        </is>
      </c>
      <c r="D6" t="inlineStr">
        <is>
          <t>Source linking</t>
        </is>
      </c>
    </row>
    <row r="7">
      <c r="A7" t="inlineStr">
        <is>
          <t>chi_steward_queue</t>
        </is>
      </c>
      <c r="B7" t="inlineStr">
        <is>
          <t>Steward_Queue</t>
        </is>
      </c>
      <c r="C7" t="inlineStr">
        <is>
          <t>(Excel workflow overlay)</t>
        </is>
      </c>
      <c r="D7" t="inlineStr">
        <is>
          <t>Workflow</t>
        </is>
      </c>
    </row>
    <row r="8">
      <c r="A8" t="inlineStr">
        <is>
          <t>chi_adt_mappings</t>
        </is>
      </c>
      <c r="B8" t="inlineStr">
        <is>
          <t>ADT_Mappings</t>
        </is>
      </c>
      <c r="C8" t="inlineStr">
        <is>
          <t>ddc-hl7_adt_catalog.parquet</t>
        </is>
      </c>
      <c r="D8" t="inlineStr">
        <is>
          <t>Mappings</t>
        </is>
      </c>
    </row>
    <row r="9">
      <c r="A9" t="inlineStr">
        <is>
          <t>chi_ccda_mappings</t>
        </is>
      </c>
      <c r="B9" t="inlineStr">
        <is>
          <t>CCDA_Mappings</t>
        </is>
      </c>
      <c r="C9" t="inlineStr">
        <is>
          <t>ddc-ccda_catalog.parquet</t>
        </is>
      </c>
      <c r="D9" t="inlineStr">
        <is>
          <t>Mappings</t>
        </is>
      </c>
    </row>
    <row r="10">
      <c r="A10" t="inlineStr">
        <is>
          <t>chi_fhir_inventory</t>
        </is>
      </c>
      <c r="B10" t="inlineStr">
        <is>
          <t>FHIR_Inventory</t>
        </is>
      </c>
      <c r="C10" t="inlineStr">
        <is>
          <t>ddc-fhir_inventory.parquet</t>
        </is>
      </c>
      <c r="D10" t="inlineStr">
        <is>
          <t>Mappings</t>
        </is>
      </c>
    </row>
    <row r="11">
      <c r="A11" t="inlineStr">
        <is>
          <t>chi_business_rules</t>
        </is>
      </c>
      <c r="B11" t="inlineStr">
        <is>
          <t>Business_Rules</t>
        </is>
      </c>
      <c r="C11" t="inlineStr">
        <is>
          <t>ddc-business_rules.parquet</t>
        </is>
      </c>
      <c r="D11" t="inlineStr">
        <is>
          <t>Mappings</t>
        </is>
      </c>
    </row>
    <row r="12">
      <c r="A12" t="inlineStr">
        <is>
          <t>chi_value_set_binding</t>
        </is>
      </c>
      <c r="B12" t="inlineStr">
        <is>
          <t>Value_Set_Bindings</t>
        </is>
      </c>
      <c r="C12" t="inlineStr">
        <is>
          <t>ddc-value_set_binding.parquet</t>
        </is>
      </c>
      <c r="D12" t="inlineStr">
        <is>
          <t>Terminology</t>
        </is>
      </c>
    </row>
    <row r="13">
      <c r="A13" t="inlineStr">
        <is>
          <t>chi_value_set_member</t>
        </is>
      </c>
      <c r="B13" t="inlineStr">
        <is>
          <t>Value_Set_Members</t>
        </is>
      </c>
      <c r="C13" t="inlineStr">
        <is>
          <t>ddc-value_set_member.parquet</t>
        </is>
      </c>
      <c r="D13" t="inlineStr">
        <is>
          <t>Terminology</t>
        </is>
      </c>
    </row>
    <row r="14">
      <c r="A14" t="inlineStr">
        <is>
          <t>chi_source_value_crosswalk</t>
        </is>
      </c>
      <c r="B14" t="inlineStr">
        <is>
          <t>Source_Value_Crosswalk</t>
        </is>
      </c>
      <c r="C14" t="inlineStr">
        <is>
          <t>ddc-source_value_crosswalk.parquet</t>
        </is>
      </c>
      <c r="D14" t="inlineStr">
        <is>
          <t>Crosswalk</t>
        </is>
      </c>
    </row>
    <row r="15">
      <c r="A15" t="inlineStr">
        <is>
          <t>chi_lookup_lists</t>
        </is>
      </c>
      <c r="B15" t="inlineStr">
        <is>
          <t>Lookup_Lists</t>
        </is>
      </c>
      <c r="C15" t="inlineStr">
        <is>
          <t>(reference lists)</t>
        </is>
      </c>
      <c r="D15" t="inlineStr">
        <is>
          <t>Reference</t>
        </is>
      </c>
    </row>
    <row r="16">
      <c r="A16" t="inlineStr">
        <is>
          <t>chi_table_index</t>
        </is>
      </c>
      <c r="B16" t="inlineStr">
        <is>
          <t>Table_Index</t>
        </is>
      </c>
      <c r="C16" t="inlineStr">
        <is>
          <t>(navigation map; not imported)</t>
        </is>
      </c>
      <c r="D16" t="inlineStr">
        <is>
          <t>Reference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20" customWidth="1" min="3" max="3"/>
    <col width="17" customWidth="1" min="4" max="4"/>
    <col width="14" customWidth="1" min="5" max="5"/>
    <col width="18" customWidth="1" min="6" max="6"/>
  </cols>
  <sheetData>
    <row r="1">
      <c r="A1" s="4" t="inlineStr">
        <is>
          <t>semantic_id</t>
        </is>
      </c>
      <c r="B1" s="4" t="inlineStr">
        <is>
          <t>source_id</t>
        </is>
      </c>
      <c r="C1" s="4" t="inlineStr">
        <is>
          <t>mapping_status</t>
        </is>
      </c>
      <c r="D1" s="4" t="inlineStr">
        <is>
          <t>approval_status</t>
        </is>
      </c>
      <c r="E1" s="4" t="inlineStr">
        <is>
          <t>availability</t>
        </is>
      </c>
      <c r="F1" s="4" t="inlineStr">
        <is>
          <t>curation_status</t>
        </is>
      </c>
    </row>
    <row r="2">
      <c r="A2" t="inlineStr">
        <is>
          <t>Condition.code</t>
        </is>
      </c>
      <c r="B2" t="inlineStr">
        <is>
          <t>cmt</t>
        </is>
      </c>
      <c r="C2" t="inlineStr">
        <is>
          <t>mapped</t>
        </is>
      </c>
      <c r="D2" t="inlineStr">
        <is>
          <t>Pending</t>
        </is>
      </c>
      <c r="E2" t="inlineStr">
        <is>
          <t>full</t>
        </is>
      </c>
      <c r="F2" t="inlineStr">
        <is>
          <t>Needs Action</t>
        </is>
      </c>
    </row>
    <row r="3">
      <c r="A3" t="inlineStr">
        <is>
          <t>Coverage.identifier</t>
        </is>
      </c>
      <c r="B3" t="inlineStr"/>
      <c r="C3" t="inlineStr">
        <is>
          <t>needs_new_semantic</t>
        </is>
      </c>
      <c r="D3" t="inlineStr">
        <is>
          <t>Ready</t>
        </is>
      </c>
      <c r="E3" t="inlineStr">
        <is>
          <t>partial</t>
        </is>
      </c>
      <c r="F3" t="inlineStr">
        <is>
          <t>In Progress</t>
        </is>
      </c>
    </row>
    <row r="4">
      <c r="A4" t="inlineStr">
        <is>
          <t>Coverage.payor</t>
        </is>
      </c>
      <c r="B4" t="inlineStr"/>
      <c r="C4" t="inlineStr">
        <is>
          <t>out_of_scope</t>
        </is>
      </c>
      <c r="D4" t="inlineStr">
        <is>
          <t>Approved</t>
        </is>
      </c>
      <c r="E4" t="inlineStr">
        <is>
          <t>none</t>
        </is>
      </c>
      <c r="F4" t="inlineStr">
        <is>
          <t>Ready for Review</t>
        </is>
      </c>
    </row>
    <row r="5">
      <c r="A5" t="inlineStr">
        <is>
          <t>Encounter.class</t>
        </is>
      </c>
      <c r="B5" t="inlineStr"/>
      <c r="C5" t="inlineStr"/>
      <c r="D5" t="inlineStr">
        <is>
          <t>Needs Changes</t>
        </is>
      </c>
      <c r="E5" t="inlineStr">
        <is>
          <t>unknown</t>
        </is>
      </c>
      <c r="F5" t="inlineStr">
        <is>
          <t>Complete</t>
        </is>
      </c>
    </row>
    <row r="6">
      <c r="A6" t="inlineStr">
        <is>
          <t>Encounter.hospitalization.dischargeDisposition</t>
        </is>
      </c>
      <c r="B6" t="inlineStr"/>
      <c r="C6" t="inlineStr"/>
      <c r="D6" t="inlineStr"/>
      <c r="E6" t="inlineStr"/>
      <c r="F6" t="inlineStr"/>
    </row>
    <row r="7">
      <c r="A7" t="inlineStr">
        <is>
          <t>Encounter.identifier</t>
        </is>
      </c>
      <c r="B7" t="inlineStr"/>
      <c r="C7" t="inlineStr"/>
      <c r="D7" t="inlineStr"/>
      <c r="E7" t="inlineStr"/>
      <c r="F7" t="inlineStr"/>
    </row>
    <row r="8">
      <c r="A8" t="inlineStr">
        <is>
          <t>Encounter.location</t>
        </is>
      </c>
      <c r="B8" t="inlineStr"/>
      <c r="C8" t="inlineStr"/>
      <c r="D8" t="inlineStr"/>
      <c r="E8" t="inlineStr"/>
      <c r="F8" t="inlineStr"/>
    </row>
    <row r="9">
      <c r="A9" t="inlineStr">
        <is>
          <t>Encounter.participant</t>
        </is>
      </c>
      <c r="B9" t="inlineStr"/>
      <c r="C9" t="inlineStr"/>
      <c r="D9" t="inlineStr"/>
      <c r="E9" t="inlineStr"/>
      <c r="F9" t="inlineStr"/>
    </row>
    <row r="10">
      <c r="A10" t="inlineStr">
        <is>
          <t>Encounter.period.end</t>
        </is>
      </c>
      <c r="B10" t="inlineStr"/>
      <c r="C10" t="inlineStr"/>
      <c r="D10" t="inlineStr"/>
      <c r="E10" t="inlineStr"/>
      <c r="F10" t="inlineStr"/>
    </row>
    <row r="11">
      <c r="A11" t="inlineStr">
        <is>
          <t>Encounter.period.start</t>
        </is>
      </c>
      <c r="B11" t="inlineStr"/>
      <c r="C11" t="inlineStr"/>
      <c r="D11" t="inlineStr"/>
      <c r="E11" t="inlineStr"/>
      <c r="F11" t="inlineStr"/>
    </row>
    <row r="12">
      <c r="A12" t="inlineStr">
        <is>
          <t>Encounter.reasonCode</t>
        </is>
      </c>
      <c r="B12" t="inlineStr"/>
      <c r="C12" t="inlineStr"/>
      <c r="D12" t="inlineStr"/>
      <c r="E12" t="inlineStr"/>
      <c r="F12" t="inlineStr"/>
    </row>
    <row r="13">
      <c r="A13" t="inlineStr">
        <is>
          <t>Encounter.serviceProvider</t>
        </is>
      </c>
      <c r="B13" t="inlineStr"/>
      <c r="C13" t="inlineStr"/>
      <c r="D13" t="inlineStr"/>
      <c r="E13" t="inlineStr"/>
      <c r="F13" t="inlineStr"/>
    </row>
    <row r="14">
      <c r="A14" t="inlineStr">
        <is>
          <t>Encounter.serviceType</t>
        </is>
      </c>
      <c r="B14" t="inlineStr"/>
      <c r="C14" t="inlineStr"/>
      <c r="D14" t="inlineStr"/>
      <c r="E14" t="inlineStr"/>
      <c r="F14" t="inlineStr"/>
    </row>
    <row r="15">
      <c r="A15" t="inlineStr">
        <is>
          <t>Patient.address</t>
        </is>
      </c>
      <c r="B15" t="inlineStr"/>
      <c r="C15" t="inlineStr"/>
      <c r="D15" t="inlineStr"/>
      <c r="E15" t="inlineStr"/>
      <c r="F15" t="inlineStr"/>
    </row>
    <row r="16">
      <c r="A16" t="inlineStr">
        <is>
          <t>Patient.address_block</t>
        </is>
      </c>
      <c r="B16" t="inlineStr"/>
      <c r="C16" t="inlineStr"/>
      <c r="D16" t="inlineStr"/>
      <c r="E16" t="inlineStr"/>
      <c r="F16" t="inlineStr"/>
    </row>
    <row r="17">
      <c r="A17" t="inlineStr">
        <is>
          <t>Patient.address_city</t>
        </is>
      </c>
      <c r="B17" t="inlineStr"/>
      <c r="C17" t="inlineStr"/>
      <c r="D17" t="inlineStr"/>
      <c r="E17" t="inlineStr"/>
      <c r="F17" t="inlineStr"/>
    </row>
    <row r="18">
      <c r="A18" t="inlineStr">
        <is>
          <t>Patient.address_country</t>
        </is>
      </c>
      <c r="B18" t="inlineStr"/>
      <c r="C18" t="inlineStr"/>
      <c r="D18" t="inlineStr"/>
      <c r="E18" t="inlineStr"/>
      <c r="F18" t="inlineStr"/>
    </row>
    <row r="19">
      <c r="A19" t="inlineStr">
        <is>
          <t>Patient.address_district</t>
        </is>
      </c>
      <c r="B19" t="inlineStr"/>
      <c r="C19" t="inlineStr"/>
      <c r="D19" t="inlineStr"/>
      <c r="E19" t="inlineStr"/>
      <c r="F19" t="inlineStr"/>
    </row>
    <row r="20">
      <c r="A20" t="inlineStr">
        <is>
          <t>Patient.address_line1</t>
        </is>
      </c>
      <c r="B20" t="inlineStr"/>
      <c r="C20" t="inlineStr"/>
      <c r="D20" t="inlineStr"/>
      <c r="E20" t="inlineStr"/>
      <c r="F20" t="inlineStr"/>
    </row>
    <row r="21">
      <c r="A21" t="inlineStr">
        <is>
          <t>Patient.address_line2</t>
        </is>
      </c>
      <c r="B21" t="inlineStr"/>
      <c r="C21" t="inlineStr"/>
      <c r="D21" t="inlineStr"/>
      <c r="E21" t="inlineStr"/>
      <c r="F21" t="inlineStr"/>
    </row>
    <row r="22">
      <c r="A22" t="inlineStr">
        <is>
          <t>Patient.address_line3</t>
        </is>
      </c>
      <c r="B22" t="inlineStr"/>
      <c r="C22" t="inlineStr"/>
      <c r="D22" t="inlineStr"/>
      <c r="E22" t="inlineStr"/>
      <c r="F22" t="inlineStr"/>
    </row>
    <row r="23">
      <c r="A23" t="inlineStr">
        <is>
          <t>Patient.address_prev</t>
        </is>
      </c>
      <c r="B23" t="inlineStr"/>
      <c r="C23" t="inlineStr"/>
      <c r="D23" t="inlineStr"/>
      <c r="E23" t="inlineStr"/>
      <c r="F23" t="inlineStr"/>
    </row>
    <row r="24">
      <c r="A24" t="inlineStr">
        <is>
          <t>Patient.address_state</t>
        </is>
      </c>
      <c r="B24" t="inlineStr"/>
      <c r="C24" t="inlineStr"/>
      <c r="D24" t="inlineStr"/>
      <c r="E24" t="inlineStr"/>
      <c r="F24" t="inlineStr"/>
    </row>
    <row r="25">
      <c r="A25" t="inlineStr">
        <is>
          <t>Patient.address_zip</t>
        </is>
      </c>
      <c r="B25" t="inlineStr"/>
      <c r="C25" t="inlineStr"/>
      <c r="D25" t="inlineStr"/>
      <c r="E25" t="inlineStr"/>
      <c r="F25" t="inlineStr"/>
    </row>
    <row r="26">
      <c r="A26" t="inlineStr">
        <is>
          <t>Patient.birth_date</t>
        </is>
      </c>
      <c r="B26" t="inlineStr"/>
      <c r="C26" t="inlineStr"/>
      <c r="D26" t="inlineStr"/>
      <c r="E26" t="inlineStr"/>
      <c r="F26" t="inlineStr"/>
    </row>
    <row r="27">
      <c r="A27" t="inlineStr">
        <is>
          <t>Patient.birth_sex</t>
        </is>
      </c>
      <c r="B27" t="inlineStr"/>
      <c r="C27" t="inlineStr"/>
      <c r="D27" t="inlineStr"/>
      <c r="E27" t="inlineStr"/>
      <c r="F27" t="inlineStr"/>
    </row>
    <row r="28">
      <c r="A28" t="inlineStr">
        <is>
          <t>Patient.death_date</t>
        </is>
      </c>
      <c r="B28" t="inlineStr"/>
      <c r="C28" t="inlineStr"/>
      <c r="D28" t="inlineStr"/>
      <c r="E28" t="inlineStr"/>
      <c r="F28" t="inlineStr"/>
    </row>
    <row r="29">
      <c r="A29" t="inlineStr">
        <is>
          <t>Patient.email</t>
        </is>
      </c>
      <c r="B29" t="inlineStr"/>
      <c r="C29" t="inlineStr"/>
      <c r="D29" t="inlineStr"/>
      <c r="E29" t="inlineStr"/>
      <c r="F29" t="inlineStr"/>
    </row>
    <row r="30">
      <c r="A30" t="inlineStr">
        <is>
          <t>Patient.ethnicity</t>
        </is>
      </c>
      <c r="B30" t="inlineStr"/>
      <c r="C30" t="inlineStr"/>
      <c r="D30" t="inlineStr"/>
      <c r="E30" t="inlineStr"/>
      <c r="F30" t="inlineStr"/>
    </row>
    <row r="31">
      <c r="A31" t="inlineStr">
        <is>
          <t>Patient.gender_id</t>
        </is>
      </c>
      <c r="B31" t="inlineStr"/>
      <c r="C31" t="inlineStr"/>
      <c r="D31" t="inlineStr"/>
      <c r="E31" t="inlineStr"/>
      <c r="F31" t="inlineStr"/>
    </row>
    <row r="32">
      <c r="A32" t="inlineStr">
        <is>
          <t>Patient.housing_status</t>
        </is>
      </c>
      <c r="B32" t="inlineStr"/>
      <c r="C32" t="inlineStr"/>
      <c r="D32" t="inlineStr"/>
      <c r="E32" t="inlineStr"/>
      <c r="F32" t="inlineStr"/>
    </row>
    <row r="33">
      <c r="A33" t="inlineStr">
        <is>
          <t>Patient.language</t>
        </is>
      </c>
      <c r="B33" t="inlineStr"/>
      <c r="C33" t="inlineStr"/>
      <c r="D33" t="inlineStr"/>
      <c r="E33" t="inlineStr"/>
      <c r="F33" t="inlineStr"/>
    </row>
    <row r="34">
      <c r="A34" t="inlineStr">
        <is>
          <t>Patient.marital_status</t>
        </is>
      </c>
      <c r="B34" t="inlineStr"/>
      <c r="C34" t="inlineStr"/>
      <c r="D34" t="inlineStr"/>
      <c r="E34" t="inlineStr"/>
      <c r="F34" t="inlineStr"/>
    </row>
    <row r="35">
      <c r="A35" t="inlineStr">
        <is>
          <t>Patient.name_first</t>
        </is>
      </c>
      <c r="B35" t="inlineStr"/>
      <c r="C35" t="inlineStr"/>
      <c r="D35" t="inlineStr"/>
      <c r="E35" t="inlineStr"/>
      <c r="F35" t="inlineStr"/>
    </row>
    <row r="36">
      <c r="A36" t="inlineStr">
        <is>
          <t>Patient.name_last</t>
        </is>
      </c>
      <c r="B36" t="inlineStr"/>
      <c r="C36" t="inlineStr"/>
      <c r="D36" t="inlineStr"/>
      <c r="E36" t="inlineStr"/>
      <c r="F36" t="inlineStr"/>
    </row>
    <row r="37">
      <c r="A37" t="inlineStr">
        <is>
          <t>Patient.name_middle</t>
        </is>
      </c>
      <c r="B37" t="inlineStr"/>
      <c r="C37" t="inlineStr"/>
      <c r="D37" t="inlineStr"/>
      <c r="E37" t="inlineStr"/>
      <c r="F37" t="inlineStr"/>
    </row>
    <row r="38">
      <c r="A38" t="inlineStr">
        <is>
          <t>Patient.name_prev</t>
        </is>
      </c>
      <c r="B38" t="inlineStr"/>
      <c r="C38" t="inlineStr"/>
      <c r="D38" t="inlineStr"/>
      <c r="E38" t="inlineStr"/>
      <c r="F38" t="inlineStr"/>
    </row>
    <row r="39">
      <c r="A39" t="inlineStr">
        <is>
          <t>Patient.name_suffix</t>
        </is>
      </c>
      <c r="B39" t="inlineStr"/>
      <c r="C39" t="inlineStr"/>
      <c r="D39" t="inlineStr"/>
      <c r="E39" t="inlineStr"/>
      <c r="F39" t="inlineStr"/>
    </row>
    <row r="40">
      <c r="A40" t="inlineStr">
        <is>
          <t>Patient.occupation</t>
        </is>
      </c>
      <c r="B40" t="inlineStr"/>
      <c r="C40" t="inlineStr"/>
      <c r="D40" t="inlineStr"/>
      <c r="E40" t="inlineStr"/>
      <c r="F40" t="inlineStr"/>
    </row>
    <row r="41">
      <c r="A41" t="inlineStr">
        <is>
          <t>Patient.phone</t>
        </is>
      </c>
      <c r="B41" t="inlineStr"/>
      <c r="C41" t="inlineStr"/>
      <c r="D41" t="inlineStr"/>
      <c r="E41" t="inlineStr"/>
      <c r="F41" t="inlineStr"/>
    </row>
    <row r="42">
      <c r="A42" t="inlineStr">
        <is>
          <t>Patient.race</t>
        </is>
      </c>
      <c r="B42" t="inlineStr"/>
      <c r="C42" t="inlineStr"/>
      <c r="D42" t="inlineStr"/>
      <c r="E42" t="inlineStr"/>
      <c r="F42" t="inlineStr"/>
    </row>
    <row r="43">
      <c r="A43" t="inlineStr">
        <is>
          <t>Patient.related_person</t>
        </is>
      </c>
      <c r="B43" t="inlineStr"/>
      <c r="C43" t="inlineStr"/>
      <c r="D43" t="inlineStr"/>
      <c r="E43" t="inlineStr"/>
      <c r="F43" t="inlineStr"/>
    </row>
    <row r="44">
      <c r="A44" t="inlineStr">
        <is>
          <t>Patient.religion</t>
        </is>
      </c>
      <c r="B44" t="inlineStr"/>
      <c r="C44" t="inlineStr"/>
      <c r="D44" t="inlineStr"/>
      <c r="E44" t="inlineStr"/>
      <c r="F44" t="inlineStr"/>
    </row>
    <row r="45">
      <c r="A45" t="inlineStr">
        <is>
          <t>Patient.sexual_orient</t>
        </is>
      </c>
      <c r="B45" t="inlineStr"/>
      <c r="C45" t="inlineStr"/>
      <c r="D45" t="inlineStr"/>
      <c r="E45" t="inlineStr"/>
      <c r="F45" t="inlineStr"/>
    </row>
    <row r="46">
      <c r="A46" t="inlineStr">
        <is>
          <t>Patient.ssn</t>
        </is>
      </c>
      <c r="B46" t="inlineStr"/>
      <c r="C46" t="inlineStr"/>
      <c r="D46" t="inlineStr"/>
      <c r="E46" t="inlineStr"/>
      <c r="F46" t="inlineStr"/>
    </row>
    <row r="47">
      <c r="A47" t="inlineStr">
        <is>
          <t>Patient.tribal_affil</t>
        </is>
      </c>
      <c r="B47" t="inlineStr"/>
      <c r="C47" t="inlineStr"/>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14" customWidth="1" min="10" max="10"/>
    <col width="24"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is>
          <t>Ajay Prashar</t>
        </is>
      </c>
      <c r="K9" t="inlineStr">
        <is>
          <t>Ajay.Prashar@acgov.org</t>
        </is>
      </c>
      <c r="L9" t="inlineStr">
        <is>
          <t>Approved</t>
        </is>
      </c>
      <c r="M9" t="inlineStr"/>
      <c r="N9" t="inlineStr">
        <is>
          <t>2026-06-09</t>
        </is>
      </c>
      <c r="O9" t="inlineStr"/>
      <c r="P9" t="inlineStr"/>
      <c r="Q9" t="inlineStr">
        <is>
          <t>Demographics</t>
        </is>
      </c>
      <c r="R9" t="inlineStr"/>
      <c r="S9" t="inlineStr">
        <is>
          <t>ASCMI</t>
        </is>
      </c>
      <c r="T9" t="inlineStr"/>
      <c r="U9" t="inlineStr"/>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is>
          <t>Ajay Prashar</t>
        </is>
      </c>
      <c r="K10" t="inlineStr">
        <is>
          <t>Ajay.Prashar@acgov.org</t>
        </is>
      </c>
      <c r="L10" t="inlineStr">
        <is>
          <t>Approved</t>
        </is>
      </c>
      <c r="M10" t="inlineStr"/>
      <c r="N10" t="inlineStr">
        <is>
          <t>2026-06-09</t>
        </is>
      </c>
      <c r="O10" t="inlineStr"/>
      <c r="P10" t="inlineStr"/>
      <c r="Q10" t="inlineStr">
        <is>
          <t>Demographics</t>
        </is>
      </c>
      <c r="R10" t="inlineStr"/>
      <c r="S10" t="inlineStr">
        <is>
          <t>ASCMI</t>
        </is>
      </c>
      <c r="T10" t="inlineStr"/>
      <c r="U10" t="inlineStr"/>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is>
          <t>Ajay Prashar</t>
        </is>
      </c>
      <c r="K12" t="inlineStr">
        <is>
          <t>Ajay.Prashar@acgov.org</t>
        </is>
      </c>
      <c r="L12" t="inlineStr">
        <is>
          <t>Approved</t>
        </is>
      </c>
      <c r="M12" t="inlineStr"/>
      <c r="N12" t="inlineStr">
        <is>
          <t>2026-06-09</t>
        </is>
      </c>
      <c r="O12" t="inlineStr"/>
      <c r="P12" t="inlineStr"/>
      <c r="Q12" t="inlineStr">
        <is>
          <t>Demographics</t>
        </is>
      </c>
      <c r="R12" t="inlineStr"/>
      <c r="S12" t="inlineStr">
        <is>
          <t>ASCMI</t>
        </is>
      </c>
      <c r="T12" t="inlineStr"/>
      <c r="U12" t="inlineStr"/>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is>
          <t>Ajay Prashar</t>
        </is>
      </c>
      <c r="K13" t="inlineStr">
        <is>
          <t>Ajay.Prashar@acgov.org</t>
        </is>
      </c>
      <c r="L13" t="inlineStr">
        <is>
          <t>Approved</t>
        </is>
      </c>
      <c r="M13" t="inlineStr"/>
      <c r="N13" t="inlineStr">
        <is>
          <t>2026-06-09</t>
        </is>
      </c>
      <c r="O13" t="inlineStr"/>
      <c r="P13" t="inlineStr"/>
      <c r="Q13" t="inlineStr">
        <is>
          <t>Demographics</t>
        </is>
      </c>
      <c r="R13" t="inlineStr"/>
      <c r="S13" t="inlineStr">
        <is>
          <t>ASCMI</t>
        </is>
      </c>
      <c r="T13" t="inlineStr"/>
      <c r="U13" t="inlineStr"/>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is>
          <t>Ajay Prashar</t>
        </is>
      </c>
      <c r="K14" t="inlineStr">
        <is>
          <t>Ajay.Prashar@acgov.org</t>
        </is>
      </c>
      <c r="L14" t="inlineStr">
        <is>
          <t>Approved</t>
        </is>
      </c>
      <c r="M14" t="inlineStr"/>
      <c r="N14" t="inlineStr">
        <is>
          <t>2026-06-09</t>
        </is>
      </c>
      <c r="O14" t="inlineStr"/>
      <c r="P14" t="inlineStr"/>
      <c r="Q14" t="inlineStr">
        <is>
          <t>Demographics</t>
        </is>
      </c>
      <c r="R14" t="inlineStr"/>
      <c r="S14" t="inlineStr">
        <is>
          <t>ASCMI</t>
        </is>
      </c>
      <c r="T14" t="inlineStr"/>
      <c r="U14" t="inlineStr"/>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 hospital registration over low-reliability EMS sources.</t>
        </is>
      </c>
      <c r="C9" t="inlineStr">
        <is>
          <t>Ask Innovaccer what logic they use to arrive at SBR</t>
        </is>
      </c>
      <c r="D9" t="inlineStr">
        <is>
          <t>US Core: us-core-birthsex extension on Patient. Administrative sex codes — not CDCREC race/ethnicity. NullFlavor: Unknown (U) treated as null at master level. UMPI matching field; not interchangeable with gender identity (LOINC 76691-5). County Table 2 – Gender Groupings for SBR rollup (e.g. Male to Female → Female).</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County: CMT SexID logic — ignore Unknown (U) as null at master level. Most recently modified among valid values. Reliability-weighted when sources conflict; UMPI matching. Clinical/legal sources may trump self-report per policy. SBR rollup: Male to Female → Female, Female to Male → Male (Table 2).</t>
        </is>
      </c>
    </row>
    <row r="10">
      <c r="A10" t="inlineStr">
        <is>
          <t>Patient.gender_id</t>
        </is>
      </c>
      <c r="B10" t="inlineStr">
        <is>
          <t>Patient-facing and community sources prioritized over administrative SexID.</t>
        </is>
      </c>
      <c r="C10" t="inlineStr">
        <is>
          <t>Ask Innovaccer what logic they use to arrive at SBR</t>
        </is>
      </c>
      <c r="D10" t="inlineStr">
        <is>
          <t>US Core: Observation LOINC 76691-5; profile us-core-observation-social-history. SNOMED CT OID urn:oid:2.16.840.1.113883.6.96 where coded clinical bindings apply. Distinct from Patient.birth_sex (us-core-birthsex / SexID). Table 2 – Gender Groupings applies to SBR administrative rollup only, not this identity element.</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County: Gender identity is self-reported; patient preference always wins. Most recent valid value with timestamp. US Core v5+ Observation (LOINC 76691-5). Rollup for visuals may collapse transition labels per equity policy — detail retained for drill-through. Do not apply CMT SexID survivorship here; that governs birth sex.</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CMT expanded pop. Reliability tiers 1–3. Highland #1, Alliance #7, Housing #20 (Mark Table 2).</t>
        </is>
      </c>
      <c r="C12" t="inlineStr">
        <is>
          <t>Ask Innovaccer what logic they use to arrive at SBR</t>
        </is>
      </c>
      <c r="D12" t="inlineStr">
        <is>
          <t>Terminology: CDCREC OID urn:oid:2.16.840.1.113883.6.238; HL7 Race Value Set (terminology.hl7.org/ValueSet-v3-Race). US Core us-core-race: ombCategory (required), detailed (optional), text. Example ombCategory codes: 1002-5 AI/AN, 2028-9 Asian, 2054-5 Black, 2076-8 NH/PI, 2106-3 White, 2131-1 Other. Non-values: HL7 NullFlavor OID urn:oid:2.16.840.1.113883.5.1008 - unknown, declined, and missing are distinct. Reporting rollup: OMB/CDC PHIN v1.3 + county Table 5. 28+ source race values; granularity varies by source.</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County: CDC PHIN Race/Ethnicity v1.3 OMB rollup (R1–R5, R9, Multi-Racial). Detail trumps rollup (e.g. Japanese &gt; Asian). Exclude Unknown, DTS, Other Race from aggregates. Self-report first; else reliability-tiered (FQHC/community &gt; BH &gt; hospital &gt; payer). Multi-racial when consistent across sources. Alert on unmapped values for curation.</t>
        </is>
      </c>
    </row>
    <row r="13">
      <c r="A13" t="inlineStr">
        <is>
          <t>Patient.ethnicity</t>
        </is>
      </c>
      <c r="B13" t="inlineStr">
        <is>
          <t>CMT expanded pop. Reliability tiers 1–3. Highland #1, Alliance #7, Housing #20 (Mark Table 2).</t>
        </is>
      </c>
      <c r="C13" t="inlineStr">
        <is>
          <t>Ask Innovaccer what logic they use to arrive at SBR</t>
        </is>
      </c>
      <c r="D13" t="inlineStr">
        <is>
          <t>Terminology: CDCREC OID urn:oid:2.16.840.1.113883.6.238; HL7 Ethnicity Value Set (terminology.hl7.org/ValueSet-v3-Ethnicity). US Core us-core-ethnicity extension. Example codes: 2135-2 Hispanic or Latino, 2186-5 Not Hispanic or Latino; detail (Mexican, Cuban) maps to rollup. Non-values: HL7 NullFlavor - do not collapse unknown, declined, patient-refused. Reporting: OMB E1/E2 + county Table 5. 7+ source values; Housing high coverage.</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County: CDC OMB ethnicity rollup (Hispanic or Latino / Not Hispanic or Latino). Detail trumps rollup (e.g. Mexican, Cuban &gt; Hispanic or Latino). Exclude Unknown, declined, and patient-refused from aggregates. Self-report first; reliability-tiered fallback.</t>
        </is>
      </c>
    </row>
    <row r="14">
      <c r="A14" t="inlineStr">
        <is>
          <t>Patient.language</t>
        </is>
      </c>
      <c r="B14" t="inlineStr">
        <is>
          <t>Highland #1 (broad language capture); St Rose #17 per Mark Table 2.</t>
        </is>
      </c>
      <c r="C14" t="inlineStr">
        <is>
          <t>Ask Innovaccer what logic they use to arrive at SBR</t>
        </is>
      </c>
      <c r="D14" t="inlineStr">
        <is>
          <t>Terminology: BCP 47 urn:ietf:bcp:47 is primary FHIR binding for Patient.communication.language (RFC 5646). ISO 639 lists are stewardship/crosswalk only, not primary exchange binding. HL7 Languages value set for reference. Exclude undetermined (und) and declined from aggregates. County Table 4 – Language Groupings. 112+ source values; critical for Mam-speaking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County: ISO 639 detail preferred over macrolanguage rollup (e.g. Japanese &gt; Asian group). Preferred/self-reported language wins when timestamped. Exclude undetermined and declined-to-specify from aggregates. Interpreter/clinical context may override when documented.</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38"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partial</t>
        </is>
      </c>
      <c r="D9" t="inlineStr"/>
      <c r="E9" t="inlineStr"/>
      <c r="F9" t="inlineStr">
        <is>
          <t>CMT roster; POC pilot</t>
        </is>
      </c>
    </row>
    <row r="10">
      <c r="A10" t="inlineStr">
        <is>
          <t>cmt</t>
        </is>
      </c>
      <c r="B10" t="inlineStr">
        <is>
          <t>Patient.gender_id</t>
        </is>
      </c>
      <c r="C10" t="inlineStr">
        <is>
          <t>partial</t>
        </is>
      </c>
      <c r="D10" t="inlineStr"/>
      <c r="E10" t="inlineStr"/>
      <c r="F10" t="inlineStr">
        <is>
          <t>CMT roster; POC pilot</t>
        </is>
      </c>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partial</t>
        </is>
      </c>
      <c r="D12" t="inlineStr"/>
      <c r="E12" t="inlineStr"/>
      <c r="F12" t="inlineStr">
        <is>
          <t>CMT roster human fields; anonymous list excluded per Verato; POC pilot</t>
        </is>
      </c>
    </row>
    <row r="13">
      <c r="A13" t="inlineStr">
        <is>
          <t>cmt</t>
        </is>
      </c>
      <c r="B13" t="inlineStr">
        <is>
          <t>Patient.ethnicity</t>
        </is>
      </c>
      <c r="C13" t="inlineStr">
        <is>
          <t>partial</t>
        </is>
      </c>
      <c r="D13" t="inlineStr"/>
      <c r="E13" t="inlineStr"/>
      <c r="F13" t="inlineStr">
        <is>
          <t>CMT roster; POC pilot</t>
        </is>
      </c>
    </row>
    <row r="14">
      <c r="A14" t="inlineStr">
        <is>
          <t>cmt</t>
        </is>
      </c>
      <c r="B14" t="inlineStr">
        <is>
          <t>Patient.language</t>
        </is>
      </c>
      <c r="C14" t="inlineStr">
        <is>
          <t>partial</t>
        </is>
      </c>
      <c r="D14" t="inlineStr"/>
      <c r="E14" t="inlineStr"/>
      <c r="F14" t="inlineStr">
        <is>
          <t>CMT roster; POC pilot</t>
        </is>
      </c>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row>
    <row r="9">
      <c r="A9" t="inlineStr">
        <is>
          <t>ADT</t>
        </is>
      </c>
      <c r="B9" t="inlineStr">
        <is>
          <t>A08</t>
        </is>
      </c>
      <c r="C9" t="inlineStr">
        <is>
          <t>PID</t>
        </is>
      </c>
      <c r="D9" t="inlineStr">
        <is>
          <t>PID-10</t>
        </is>
      </c>
      <c r="E9" t="inlineStr">
        <is>
          <t>Patient Race Code</t>
        </is>
      </c>
      <c r="F9" t="inlineStr">
        <is>
          <t>CE</t>
        </is>
      </c>
      <c r="G9" t="inlineStr">
        <is>
          <t>O</t>
        </is>
      </c>
      <c r="H9" t="inlineStr">
        <is>
          <t>1</t>
        </is>
      </c>
      <c r="I9" t="inlineStr">
        <is>
          <t>Patient.race</t>
        </is>
      </c>
      <c r="J9" t="inlineStr">
        <is>
          <t>Patient.extension(us-core-race)</t>
        </is>
      </c>
      <c r="K9" t="inlineStr">
        <is>
          <t>CMT: 0% fill</t>
        </is>
      </c>
      <c r="L9" t="inlineStr">
        <is>
          <t>mapped</t>
        </is>
      </c>
    </row>
    <row r="10">
      <c r="A10" t="inlineStr">
        <is>
          <t>ADT</t>
        </is>
      </c>
      <c r="B10" t="inlineStr">
        <is>
          <t>A08</t>
        </is>
      </c>
      <c r="C10" t="inlineStr">
        <is>
          <t>PID</t>
        </is>
      </c>
      <c r="D10" t="inlineStr">
        <is>
          <t>PID-10</t>
        </is>
      </c>
      <c r="E10" t="inlineStr">
        <is>
          <t>Patient Race Name/Description</t>
        </is>
      </c>
      <c r="F10" t="inlineStr">
        <is>
          <t>ST</t>
        </is>
      </c>
      <c r="G10" t="inlineStr">
        <is>
          <t>O</t>
        </is>
      </c>
      <c r="H10" t="inlineStr">
        <is>
          <t>1</t>
        </is>
      </c>
      <c r="I10" t="inlineStr">
        <is>
          <t>Patient.race</t>
        </is>
      </c>
      <c r="J10" t="inlineStr">
        <is>
          <t>Patient.extension(us-core-race)</t>
        </is>
      </c>
      <c r="K10" t="inlineStr">
        <is>
          <t>CMT: 0% fill</t>
        </is>
      </c>
      <c r="L10" t="inlineStr">
        <is>
          <t>mapped</t>
        </is>
      </c>
    </row>
    <row r="11">
      <c r="A11" t="inlineStr">
        <is>
          <t>ADT</t>
        </is>
      </c>
      <c r="B11" t="inlineStr">
        <is>
          <t>A08</t>
        </is>
      </c>
      <c r="C11" t="inlineStr">
        <is>
          <t>PID</t>
        </is>
      </c>
      <c r="D11" t="inlineStr">
        <is>
          <t>PID-11</t>
        </is>
      </c>
      <c r="E11" t="inlineStr">
        <is>
          <t>Patient Primary Street Address 1</t>
        </is>
      </c>
      <c r="F11" t="inlineStr">
        <is>
          <t>XAD</t>
        </is>
      </c>
      <c r="G11" t="inlineStr">
        <is>
          <t>O</t>
        </is>
      </c>
      <c r="H11" t="inlineStr">
        <is>
          <t>1</t>
        </is>
      </c>
      <c r="I11" t="inlineStr">
        <is>
          <t>Patient.address_line1</t>
        </is>
      </c>
      <c r="J11" t="inlineStr">
        <is>
          <t>Patient.address.line</t>
        </is>
      </c>
      <c r="K11" t="inlineStr">
        <is>
          <t>96.44% fill CMT</t>
        </is>
      </c>
      <c r="L11" t="inlineStr">
        <is>
          <t>mapped</t>
        </is>
      </c>
    </row>
    <row r="12">
      <c r="A12" t="inlineStr">
        <is>
          <t>ADT</t>
        </is>
      </c>
      <c r="B12" t="inlineStr">
        <is>
          <t>A08</t>
        </is>
      </c>
      <c r="C12" t="inlineStr">
        <is>
          <t>PID</t>
        </is>
      </c>
      <c r="D12" t="inlineStr">
        <is>
          <t>PID-11</t>
        </is>
      </c>
      <c r="E12" t="inlineStr">
        <is>
          <t>Patient Primary Street Address 2</t>
        </is>
      </c>
      <c r="F12" t="inlineStr">
        <is>
          <t>XAD</t>
        </is>
      </c>
      <c r="G12" t="inlineStr">
        <is>
          <t>O</t>
        </is>
      </c>
      <c r="H12" t="inlineStr">
        <is>
          <t>1</t>
        </is>
      </c>
      <c r="I12" t="inlineStr">
        <is>
          <t>Patient.address_line2</t>
        </is>
      </c>
      <c r="J12" t="inlineStr">
        <is>
          <t>Patient.address.line</t>
        </is>
      </c>
      <c r="K12" t="inlineStr">
        <is>
          <t>CMT: 0% fill</t>
        </is>
      </c>
      <c r="L12" t="inlineStr">
        <is>
          <t>mapped</t>
        </is>
      </c>
    </row>
    <row r="13">
      <c r="A13" t="inlineStr">
        <is>
          <t>ADT</t>
        </is>
      </c>
      <c r="B13" t="inlineStr">
        <is>
          <t>A08</t>
        </is>
      </c>
      <c r="C13" t="inlineStr">
        <is>
          <t>PID</t>
        </is>
      </c>
      <c r="D13" t="inlineStr">
        <is>
          <t>PID-11</t>
        </is>
      </c>
      <c r="E13" t="inlineStr">
        <is>
          <t>Patient Primary City</t>
        </is>
      </c>
      <c r="F13" t="inlineStr">
        <is>
          <t>XAD</t>
        </is>
      </c>
      <c r="G13" t="inlineStr">
        <is>
          <t>O</t>
        </is>
      </c>
      <c r="H13" t="inlineStr">
        <is>
          <t>1</t>
        </is>
      </c>
      <c r="I13" t="inlineStr">
        <is>
          <t>Patient.address_city</t>
        </is>
      </c>
      <c r="J13" t="inlineStr">
        <is>
          <t>Patient.address.city</t>
        </is>
      </c>
      <c r="K13" t="inlineStr">
        <is>
          <t>96.63% fill CMT</t>
        </is>
      </c>
      <c r="L13" t="inlineStr">
        <is>
          <t>mapped</t>
        </is>
      </c>
    </row>
    <row r="14">
      <c r="A14" t="inlineStr">
        <is>
          <t>ADT</t>
        </is>
      </c>
      <c r="B14" t="inlineStr">
        <is>
          <t>A08</t>
        </is>
      </c>
      <c r="C14" t="inlineStr">
        <is>
          <t>PID</t>
        </is>
      </c>
      <c r="D14" t="inlineStr">
        <is>
          <t>PID-11</t>
        </is>
      </c>
      <c r="E14" t="inlineStr">
        <is>
          <t>Patient Primary State code</t>
        </is>
      </c>
      <c r="F14" t="inlineStr">
        <is>
          <t>XAD</t>
        </is>
      </c>
      <c r="G14" t="inlineStr">
        <is>
          <t>O</t>
        </is>
      </c>
      <c r="H14" t="inlineStr">
        <is>
          <t>1</t>
        </is>
      </c>
      <c r="I14" t="inlineStr">
        <is>
          <t>Patient.address_state</t>
        </is>
      </c>
      <c r="J14" t="inlineStr">
        <is>
          <t>Patient.address.state</t>
        </is>
      </c>
      <c r="K14" t="inlineStr">
        <is>
          <t>100% fill CMT</t>
        </is>
      </c>
      <c r="L14" t="inlineStr">
        <is>
          <t>mapped</t>
        </is>
      </c>
    </row>
    <row r="15">
      <c r="A15" t="inlineStr">
        <is>
          <t>ADT</t>
        </is>
      </c>
      <c r="B15" t="inlineStr">
        <is>
          <t>A08</t>
        </is>
      </c>
      <c r="C15" t="inlineStr">
        <is>
          <t>PID</t>
        </is>
      </c>
      <c r="D15" t="inlineStr">
        <is>
          <t>PID-11</t>
        </is>
      </c>
      <c r="E15" t="inlineStr">
        <is>
          <t>Patient Primary Zip</t>
        </is>
      </c>
      <c r="F15" t="inlineStr">
        <is>
          <t>XAD</t>
        </is>
      </c>
      <c r="G15" t="inlineStr">
        <is>
          <t>O</t>
        </is>
      </c>
      <c r="H15" t="inlineStr">
        <is>
          <t>1</t>
        </is>
      </c>
      <c r="I15" t="inlineStr">
        <is>
          <t>Patient.address_zip</t>
        </is>
      </c>
      <c r="J15" t="inlineStr">
        <is>
          <t>Patient.address.postalCode</t>
        </is>
      </c>
      <c r="K15" t="inlineStr">
        <is>
          <t>95.78% fill CMT</t>
        </is>
      </c>
      <c r="L15" t="inlineStr">
        <is>
          <t>mapped</t>
        </is>
      </c>
    </row>
    <row r="16">
      <c r="A16" t="inlineStr">
        <is>
          <t>ADT</t>
        </is>
      </c>
      <c r="B16" t="inlineStr">
        <is>
          <t>A08</t>
        </is>
      </c>
      <c r="C16" t="inlineStr">
        <is>
          <t>PID</t>
        </is>
      </c>
      <c r="D16" t="inlineStr">
        <is>
          <t>PID-11</t>
        </is>
      </c>
      <c r="E16" t="inlineStr">
        <is>
          <t>Patient Primary Country Code</t>
        </is>
      </c>
      <c r="F16" t="inlineStr">
        <is>
          <t>XAD</t>
        </is>
      </c>
      <c r="G16" t="inlineStr">
        <is>
          <t>O</t>
        </is>
      </c>
      <c r="H16" t="inlineStr">
        <is>
          <t>1</t>
        </is>
      </c>
      <c r="I16" t="inlineStr">
        <is>
          <t>Patient.address_country</t>
        </is>
      </c>
      <c r="J16" t="inlineStr">
        <is>
          <t>Patient.address.country</t>
        </is>
      </c>
      <c r="K16" t="inlineStr">
        <is>
          <t>CMT: 0% fill; default USA per SYN</t>
        </is>
      </c>
      <c r="L16" t="inlineStr">
        <is>
          <t>mapped</t>
        </is>
      </c>
    </row>
    <row r="17">
      <c r="A17" t="inlineStr">
        <is>
          <t>ADT</t>
        </is>
      </c>
      <c r="B17" t="inlineStr">
        <is>
          <t>A08</t>
        </is>
      </c>
      <c r="C17" t="inlineStr">
        <is>
          <t>PID</t>
        </is>
      </c>
      <c r="D17" t="inlineStr">
        <is>
          <t>PID-11</t>
        </is>
      </c>
      <c r="E17" t="inlineStr">
        <is>
          <t>Patient Primary County code</t>
        </is>
      </c>
      <c r="F17" t="inlineStr">
        <is>
          <t>XAD</t>
        </is>
      </c>
      <c r="G17" t="inlineStr">
        <is>
          <t>O</t>
        </is>
      </c>
      <c r="H17" t="inlineStr">
        <is>
          <t>1</t>
        </is>
      </c>
      <c r="I17" t="inlineStr">
        <is>
          <t>Patient.address</t>
        </is>
      </c>
      <c r="J17" t="inlineStr">
        <is>
          <t>Patient.address.district</t>
        </is>
      </c>
      <c r="K17" t="inlineStr">
        <is>
          <t>CMT: 0% fill</t>
        </is>
      </c>
      <c r="L17" t="inlineStr">
        <is>
          <t>mapped</t>
        </is>
      </c>
    </row>
    <row r="18">
      <c r="A18" t="inlineStr">
        <is>
          <t>ADT</t>
        </is>
      </c>
      <c r="B18" t="inlineStr">
        <is>
          <t>A08</t>
        </is>
      </c>
      <c r="C18" t="inlineStr">
        <is>
          <t>PID</t>
        </is>
      </c>
      <c r="D18" t="inlineStr">
        <is>
          <t>PID-13</t>
        </is>
      </c>
      <c r="E18" t="inlineStr">
        <is>
          <t>Patient Primary Telephone</t>
        </is>
      </c>
      <c r="F18" t="inlineStr">
        <is>
          <t>XTN</t>
        </is>
      </c>
      <c r="G18" t="inlineStr">
        <is>
          <t>O</t>
        </is>
      </c>
      <c r="H18" t="inlineStr">
        <is>
          <t>1</t>
        </is>
      </c>
      <c r="I18" t="inlineStr">
        <is>
          <t>Patient.phone</t>
        </is>
      </c>
      <c r="J18" t="inlineStr">
        <is>
          <t>Patient.telecom (system=phone)</t>
        </is>
      </c>
      <c r="K18" t="inlineStr">
        <is>
          <t>Ingest as received; 7/9-digit values observed</t>
        </is>
      </c>
      <c r="L18" t="inlineStr">
        <is>
          <t>mapped</t>
        </is>
      </c>
    </row>
    <row r="19">
      <c r="A19" t="inlineStr">
        <is>
          <t>ADT</t>
        </is>
      </c>
      <c r="B19" t="inlineStr">
        <is>
          <t>A08</t>
        </is>
      </c>
      <c r="C19" t="inlineStr">
        <is>
          <t>PID</t>
        </is>
      </c>
      <c r="D19" t="inlineStr">
        <is>
          <t>PID-13</t>
        </is>
      </c>
      <c r="E19" t="inlineStr">
        <is>
          <t>Patient Primary Email</t>
        </is>
      </c>
      <c r="F19" t="inlineStr">
        <is>
          <t>XTN</t>
        </is>
      </c>
      <c r="G19" t="inlineStr">
        <is>
          <t>O</t>
        </is>
      </c>
      <c r="H19" t="inlineStr">
        <is>
          <t>1</t>
        </is>
      </c>
      <c r="I19" t="inlineStr">
        <is>
          <t>Patient.email</t>
        </is>
      </c>
      <c r="J19" t="inlineStr">
        <is>
          <t>Patient.telecom (system=email)</t>
        </is>
      </c>
      <c r="K19" t="inlineStr">
        <is>
          <t>CMT: 0% fill</t>
        </is>
      </c>
      <c r="L19" t="inlineStr">
        <is>
          <t>mapped</t>
        </is>
      </c>
    </row>
    <row r="20">
      <c r="A20" t="inlineStr">
        <is>
          <t>ADT</t>
        </is>
      </c>
      <c r="B20" t="inlineStr">
        <is>
          <t>A08</t>
        </is>
      </c>
      <c r="C20" t="inlineStr">
        <is>
          <t>PID</t>
        </is>
      </c>
      <c r="D20" t="inlineStr">
        <is>
          <t>PID-15</t>
        </is>
      </c>
      <c r="E20" t="inlineStr">
        <is>
          <t>Patient primary language Code</t>
        </is>
      </c>
      <c r="F20" t="inlineStr">
        <is>
          <t>CE</t>
        </is>
      </c>
      <c r="G20" t="inlineStr">
        <is>
          <t>O</t>
        </is>
      </c>
      <c r="H20" t="inlineStr">
        <is>
          <t>1</t>
        </is>
      </c>
      <c r="I20" t="inlineStr">
        <is>
          <t>Patient.language</t>
        </is>
      </c>
      <c r="J20" t="inlineStr">
        <is>
          <t>Patient.communication.language</t>
        </is>
      </c>
      <c r="K20" t="inlineStr">
        <is>
          <t>CMT: 0% fill</t>
        </is>
      </c>
      <c r="L20" t="inlineStr">
        <is>
          <t>mapped</t>
        </is>
      </c>
    </row>
    <row r="21">
      <c r="A21" t="inlineStr">
        <is>
          <t>ADT</t>
        </is>
      </c>
      <c r="B21" t="inlineStr">
        <is>
          <t>A08</t>
        </is>
      </c>
      <c r="C21" t="inlineStr">
        <is>
          <t>PID</t>
        </is>
      </c>
      <c r="D21" t="inlineStr">
        <is>
          <t>PID-16</t>
        </is>
      </c>
      <c r="E21" t="inlineStr">
        <is>
          <t>Patient Marital Status Code</t>
        </is>
      </c>
      <c r="F21" t="inlineStr">
        <is>
          <t>CE</t>
        </is>
      </c>
      <c r="G21" t="inlineStr">
        <is>
          <t>O</t>
        </is>
      </c>
      <c r="H21" t="inlineStr">
        <is>
          <t>1</t>
        </is>
      </c>
      <c r="I21" t="inlineStr">
        <is>
          <t>Patient.marital_status</t>
        </is>
      </c>
      <c r="J21" t="inlineStr">
        <is>
          <t>Patient.maritalStatus</t>
        </is>
      </c>
      <c r="K21" t="inlineStr">
        <is>
          <t>CMT: 0% fill</t>
        </is>
      </c>
      <c r="L21" t="inlineStr">
        <is>
          <t>mapped</t>
        </is>
      </c>
    </row>
    <row r="22">
      <c r="A22" t="inlineStr">
        <is>
          <t>ADT</t>
        </is>
      </c>
      <c r="B22" t="inlineStr">
        <is>
          <t>A08</t>
        </is>
      </c>
      <c r="C22" t="inlineStr">
        <is>
          <t>PID</t>
        </is>
      </c>
      <c r="D22" t="inlineStr">
        <is>
          <t>PID-16</t>
        </is>
      </c>
      <c r="E22" t="inlineStr">
        <is>
          <t>Patient Marital Status Name/Description</t>
        </is>
      </c>
      <c r="F22" t="inlineStr">
        <is>
          <t>ST</t>
        </is>
      </c>
      <c r="G22" t="inlineStr">
        <is>
          <t>O</t>
        </is>
      </c>
      <c r="H22" t="inlineStr">
        <is>
          <t>1</t>
        </is>
      </c>
      <c r="I22" t="inlineStr">
        <is>
          <t>Patient.marital_status</t>
        </is>
      </c>
      <c r="J22" t="inlineStr">
        <is>
          <t>Patient.maritalStatus</t>
        </is>
      </c>
      <c r="K22" t="inlineStr">
        <is>
          <t>CMT: 0% fill</t>
        </is>
      </c>
      <c r="L22" t="inlineStr">
        <is>
          <t>mapped</t>
        </is>
      </c>
    </row>
    <row r="23">
      <c r="A23" t="inlineStr">
        <is>
          <t>ADT</t>
        </is>
      </c>
      <c r="B23" t="inlineStr">
        <is>
          <t>A08</t>
        </is>
      </c>
      <c r="C23" t="inlineStr">
        <is>
          <t>PID</t>
        </is>
      </c>
      <c r="D23" t="inlineStr">
        <is>
          <t>PID-17</t>
        </is>
      </c>
      <c r="E23" t="inlineStr">
        <is>
          <t>Patient Religion</t>
        </is>
      </c>
      <c r="F23" t="inlineStr">
        <is>
          <t>CE</t>
        </is>
      </c>
      <c r="G23" t="inlineStr">
        <is>
          <t>O</t>
        </is>
      </c>
      <c r="H23" t="inlineStr">
        <is>
          <t>1</t>
        </is>
      </c>
      <c r="I23" t="inlineStr">
        <is>
          <t>Patient.religion</t>
        </is>
      </c>
      <c r="J23" t="inlineStr">
        <is>
          <t>Patient.extension(patient-religion)</t>
        </is>
      </c>
      <c r="K23" t="inlineStr">
        <is>
          <t>CMT: 0% fill</t>
        </is>
      </c>
      <c r="L23" t="inlineStr">
        <is>
          <t>mapped</t>
        </is>
      </c>
    </row>
    <row r="24">
      <c r="A24" t="inlineStr">
        <is>
          <t>ADT</t>
        </is>
      </c>
      <c r="B24" t="inlineStr">
        <is>
          <t>A08</t>
        </is>
      </c>
      <c r="C24" t="inlineStr">
        <is>
          <t>PID</t>
        </is>
      </c>
      <c r="D24" t="inlineStr">
        <is>
          <t>PID-19</t>
        </is>
      </c>
      <c r="E24" t="inlineStr">
        <is>
          <t>Patient SSN</t>
        </is>
      </c>
      <c r="F24" t="inlineStr">
        <is>
          <t>ST</t>
        </is>
      </c>
      <c r="G24" t="inlineStr">
        <is>
          <t>O</t>
        </is>
      </c>
      <c r="H24" t="inlineStr">
        <is>
          <t>1</t>
        </is>
      </c>
      <c r="I24" t="inlineStr">
        <is>
          <t>Patient.ssn</t>
        </is>
      </c>
      <c r="J24" t="inlineStr">
        <is>
          <t>Patient.identifier (system=SSN)</t>
        </is>
      </c>
      <c r="K24" t="inlineStr">
        <is>
          <t>CMT: 0% fill</t>
        </is>
      </c>
      <c r="L24" t="inlineStr">
        <is>
          <t>mapped</t>
        </is>
      </c>
    </row>
    <row r="25">
      <c r="A25" t="inlineStr">
        <is>
          <t>ADT</t>
        </is>
      </c>
      <c r="B25" t="inlineStr">
        <is>
          <t>A08</t>
        </is>
      </c>
      <c r="C25" t="inlineStr">
        <is>
          <t>PID</t>
        </is>
      </c>
      <c r="D25" t="inlineStr">
        <is>
          <t>PID-22</t>
        </is>
      </c>
      <c r="E25" t="inlineStr">
        <is>
          <t>Patient Ethnicity Code</t>
        </is>
      </c>
      <c r="F25" t="inlineStr">
        <is>
          <t>CE</t>
        </is>
      </c>
      <c r="G25" t="inlineStr">
        <is>
          <t>O</t>
        </is>
      </c>
      <c r="H25" t="inlineStr">
        <is>
          <t>1</t>
        </is>
      </c>
      <c r="I25" t="inlineStr">
        <is>
          <t>Patient.ethnicity</t>
        </is>
      </c>
      <c r="J25" t="inlineStr">
        <is>
          <t>Patient.extension(us-core-ethnicity)</t>
        </is>
      </c>
      <c r="K25" t="inlineStr">
        <is>
          <t>CMT: 0% fill</t>
        </is>
      </c>
      <c r="L25" t="inlineStr">
        <is>
          <t>mapped</t>
        </is>
      </c>
    </row>
    <row r="26">
      <c r="A26" t="inlineStr">
        <is>
          <t>ADT</t>
        </is>
      </c>
      <c r="B26" t="inlineStr">
        <is>
          <t>A08</t>
        </is>
      </c>
      <c r="C26" t="inlineStr">
        <is>
          <t>PID</t>
        </is>
      </c>
      <c r="D26" t="inlineStr">
        <is>
          <t>PID-22</t>
        </is>
      </c>
      <c r="E26" t="inlineStr">
        <is>
          <t>Patient Ethnicity Name/Description</t>
        </is>
      </c>
      <c r="F26" t="inlineStr">
        <is>
          <t>ST</t>
        </is>
      </c>
      <c r="G26" t="inlineStr">
        <is>
          <t>O</t>
        </is>
      </c>
      <c r="H26" t="inlineStr">
        <is>
          <t>1</t>
        </is>
      </c>
      <c r="I26" t="inlineStr">
        <is>
          <t>Patient.ethnicity</t>
        </is>
      </c>
      <c r="J26" t="inlineStr">
        <is>
          <t>Patient.extension(us-core-ethnicity)</t>
        </is>
      </c>
      <c r="K26" t="inlineStr">
        <is>
          <t>CMT: 0% fill</t>
        </is>
      </c>
      <c r="L26" t="inlineStr">
        <is>
          <t>mapped</t>
        </is>
      </c>
    </row>
    <row r="27">
      <c r="A27" t="inlineStr">
        <is>
          <t>ADT</t>
        </is>
      </c>
      <c r="B27" t="inlineStr">
        <is>
          <t>A08</t>
        </is>
      </c>
      <c r="C27" t="inlineStr">
        <is>
          <t>PID</t>
        </is>
      </c>
      <c r="D27" t="inlineStr">
        <is>
          <t>PID-29</t>
        </is>
      </c>
      <c r="E27" t="inlineStr">
        <is>
          <t>Patient Date of Death</t>
        </is>
      </c>
      <c r="F27" t="inlineStr">
        <is>
          <t>TS</t>
        </is>
      </c>
      <c r="G27" t="inlineStr">
        <is>
          <t>R</t>
        </is>
      </c>
      <c r="H27" t="inlineStr">
        <is>
          <t>1</t>
        </is>
      </c>
      <c r="I27" t="inlineStr">
        <is>
          <t>Patient.death_date</t>
        </is>
      </c>
      <c r="J27" t="inlineStr">
        <is>
          <t>Patient.deceased[x]</t>
        </is>
      </c>
      <c r="K27" t="inlineStr">
        <is>
          <t>CMT: 0% fill; critical for EMPI</t>
        </is>
      </c>
      <c r="L27" t="inlineStr">
        <is>
          <t>mapped</t>
        </is>
      </c>
    </row>
    <row r="28">
      <c r="A28" t="inlineStr">
        <is>
          <t>ADT</t>
        </is>
      </c>
      <c r="B28" t="inlineStr">
        <is>
          <t>A08</t>
        </is>
      </c>
      <c r="C28" t="inlineStr">
        <is>
          <t>PID</t>
        </is>
      </c>
      <c r="D28" t="inlineStr">
        <is>
          <t>PID-30</t>
        </is>
      </c>
      <c r="E28" t="inlineStr">
        <is>
          <t>Patient Deceased Flag Code</t>
        </is>
      </c>
      <c r="F28" t="inlineStr">
        <is>
          <t>IS</t>
        </is>
      </c>
      <c r="G28" t="inlineStr">
        <is>
          <t>O</t>
        </is>
      </c>
      <c r="H28" t="inlineStr">
        <is>
          <t>1</t>
        </is>
      </c>
      <c r="I28" t="inlineStr">
        <is>
          <t>Patient.death_date</t>
        </is>
      </c>
      <c r="J28" t="inlineStr">
        <is>
          <t>Patient.deceased[x]</t>
        </is>
      </c>
      <c r="K28" t="inlineStr">
        <is>
          <t>Y/N; CMT: 0% fill</t>
        </is>
      </c>
      <c r="L28" t="inlineStr">
        <is>
          <t>mapped</t>
        </is>
      </c>
    </row>
    <row r="29">
      <c r="A29" t="inlineStr">
        <is>
          <t>ADT</t>
        </is>
      </c>
      <c r="B29" t="inlineStr">
        <is>
          <t>A08</t>
        </is>
      </c>
      <c r="C29" t="inlineStr">
        <is>
          <t>PV1</t>
        </is>
      </c>
      <c r="D29" t="inlineStr">
        <is>
          <t>PV1-2</t>
        </is>
      </c>
      <c r="E29" t="inlineStr">
        <is>
          <t>Encounter Type</t>
        </is>
      </c>
      <c r="F29" t="inlineStr">
        <is>
          <t>IS</t>
        </is>
      </c>
      <c r="G29" t="inlineStr">
        <is>
          <t>R</t>
        </is>
      </c>
      <c r="H29" t="inlineStr">
        <is>
          <t>1</t>
        </is>
      </c>
      <c r="I29" t="inlineStr">
        <is>
          <t>Encounter.class</t>
        </is>
      </c>
      <c r="J29" t="inlineStr">
        <is>
          <t>Encounter.class</t>
        </is>
      </c>
      <c r="K29" t="inlineStr">
        <is>
          <t>E/I/O/V; CMT: 99.99% fill</t>
        </is>
      </c>
      <c r="L29" t="inlineStr">
        <is>
          <t>mapped</t>
        </is>
      </c>
    </row>
    <row r="30">
      <c r="A30" t="inlineStr">
        <is>
          <t>ADT</t>
        </is>
      </c>
      <c r="B30" t="inlineStr">
        <is>
          <t>A08</t>
        </is>
      </c>
      <c r="C30" t="inlineStr">
        <is>
          <t>PV1</t>
        </is>
      </c>
      <c r="D30" t="inlineStr">
        <is>
          <t>PV1-4</t>
        </is>
      </c>
      <c r="E30" t="inlineStr">
        <is>
          <t>Facility Name</t>
        </is>
      </c>
      <c r="F30" t="inlineStr">
        <is>
          <t>XON</t>
        </is>
      </c>
      <c r="G30" t="inlineStr">
        <is>
          <t>R</t>
        </is>
      </c>
      <c r="H30" t="inlineStr">
        <is>
          <t>1</t>
        </is>
      </c>
      <c r="I30" t="inlineStr">
        <is>
          <t>Encounter.serviceProvider</t>
        </is>
      </c>
      <c r="J30" t="inlineStr">
        <is>
          <t>Encounter.serviceProvider</t>
        </is>
      </c>
      <c r="K30" t="inlineStr">
        <is>
          <t>Facility where service provided</t>
        </is>
      </c>
      <c r="L30" t="inlineStr">
        <is>
          <t>mapped</t>
        </is>
      </c>
    </row>
    <row r="31">
      <c r="A31" t="inlineStr">
        <is>
          <t>ADT</t>
        </is>
      </c>
      <c r="B31" t="inlineStr">
        <is>
          <t>A08</t>
        </is>
      </c>
      <c r="C31" t="inlineStr">
        <is>
          <t>PV1</t>
        </is>
      </c>
      <c r="D31" t="inlineStr">
        <is>
          <t>PV1-19</t>
        </is>
      </c>
      <c r="E31" t="inlineStr">
        <is>
          <t>Encounter ID</t>
        </is>
      </c>
      <c r="F31" t="inlineStr">
        <is>
          <t>CX</t>
        </is>
      </c>
      <c r="G31" t="inlineStr">
        <is>
          <t>R</t>
        </is>
      </c>
      <c r="H31" t="inlineStr">
        <is>
          <t>1</t>
        </is>
      </c>
      <c r="I31" t="inlineStr">
        <is>
          <t>Encounter.identifier</t>
        </is>
      </c>
      <c r="J31" t="inlineStr">
        <is>
          <t>Encounter.identifier</t>
        </is>
      </c>
      <c r="K31" t="inlineStr">
        <is>
          <t>EMR encounter ID; CMT: 99.99% fill</t>
        </is>
      </c>
      <c r="L31" t="inlineStr">
        <is>
          <t>mapped</t>
        </is>
      </c>
    </row>
    <row r="32">
      <c r="A32" t="inlineStr">
        <is>
          <t>ADT</t>
        </is>
      </c>
      <c r="B32" t="inlineStr">
        <is>
          <t>A08</t>
        </is>
      </c>
      <c r="C32" t="inlineStr">
        <is>
          <t>PV1</t>
        </is>
      </c>
      <c r="D32" t="inlineStr">
        <is>
          <t>PV1-44</t>
        </is>
      </c>
      <c r="E32" t="inlineStr">
        <is>
          <t>Encounter Start Date</t>
        </is>
      </c>
      <c r="F32" t="inlineStr">
        <is>
          <t>TS</t>
        </is>
      </c>
      <c r="G32" t="inlineStr">
        <is>
          <t>R</t>
        </is>
      </c>
      <c r="H32" t="inlineStr">
        <is>
          <t>1</t>
        </is>
      </c>
      <c r="I32" t="inlineStr">
        <is>
          <t>Encounter.period.start</t>
        </is>
      </c>
      <c r="J32" t="inlineStr">
        <is>
          <t>Encounter.period.start</t>
        </is>
      </c>
      <c r="K32" t="inlineStr">
        <is>
          <t>CMT: 99.99% fill</t>
        </is>
      </c>
      <c r="L32" t="inlineStr">
        <is>
          <t>mapped</t>
        </is>
      </c>
    </row>
    <row r="33">
      <c r="A33" t="inlineStr">
        <is>
          <t>ADT</t>
        </is>
      </c>
      <c r="B33" t="inlineStr">
        <is>
          <t>A08</t>
        </is>
      </c>
      <c r="C33" t="inlineStr">
        <is>
          <t>PV1</t>
        </is>
      </c>
      <c r="D33" t="inlineStr">
        <is>
          <t>PV1-45</t>
        </is>
      </c>
      <c r="E33" t="inlineStr">
        <is>
          <t>Encounter End Date</t>
        </is>
      </c>
      <c r="F33" t="inlineStr">
        <is>
          <t>TS</t>
        </is>
      </c>
      <c r="G33" t="inlineStr">
        <is>
          <t>R</t>
        </is>
      </c>
      <c r="H33" t="inlineStr">
        <is>
          <t>1</t>
        </is>
      </c>
      <c r="I33" t="inlineStr">
        <is>
          <t>Encounter.period.end</t>
        </is>
      </c>
      <c r="J33" t="inlineStr">
        <is>
          <t>Encounter.period.end</t>
        </is>
      </c>
      <c r="K33" t="inlineStr">
        <is>
          <t>CMT: 22.85% fill (ongoing encounters)</t>
        </is>
      </c>
      <c r="L33" t="inlineStr">
        <is>
          <t>mapped</t>
        </is>
      </c>
    </row>
    <row r="34">
      <c r="A34" t="inlineStr">
        <is>
          <t>ADT</t>
        </is>
      </c>
      <c r="B34" t="inlineStr">
        <is>
          <t>A08</t>
        </is>
      </c>
      <c r="C34" t="inlineStr">
        <is>
          <t>PV1</t>
        </is>
      </c>
      <c r="D34" t="inlineStr">
        <is>
          <t>PV1-36</t>
        </is>
      </c>
      <c r="E34" t="inlineStr">
        <is>
          <t>Discharge Disposition Code</t>
        </is>
      </c>
      <c r="F34" t="inlineStr">
        <is>
          <t>CE</t>
        </is>
      </c>
      <c r="G34" t="inlineStr">
        <is>
          <t>R</t>
        </is>
      </c>
      <c r="H34" t="inlineStr">
        <is>
          <t>1</t>
        </is>
      </c>
      <c r="I34" t="inlineStr">
        <is>
          <t>Encounter.hospitalization.dischargeDisposition</t>
        </is>
      </c>
      <c r="J34" t="inlineStr">
        <is>
          <t>Encounter.hospitalization.dischargeDisposition</t>
        </is>
      </c>
      <c r="K34" t="inlineStr">
        <is>
          <t>Ingest as received per SYN; CMT: 18.63% fill</t>
        </is>
      </c>
      <c r="L34" t="inlineStr">
        <is>
          <t>mapped</t>
        </is>
      </c>
    </row>
    <row r="35">
      <c r="A35" t="inlineStr">
        <is>
          <t>ADT</t>
        </is>
      </c>
      <c r="B35" t="inlineStr">
        <is>
          <t>A08</t>
        </is>
      </c>
      <c r="C35" t="inlineStr">
        <is>
          <t>PV2</t>
        </is>
      </c>
      <c r="D35" t="inlineStr">
        <is>
          <t>PV2-3</t>
        </is>
      </c>
      <c r="E35" t="inlineStr">
        <is>
          <t>Encounter Reason</t>
        </is>
      </c>
      <c r="F35" t="inlineStr">
        <is>
          <t>CE</t>
        </is>
      </c>
      <c r="G35" t="inlineStr">
        <is>
          <t>O</t>
        </is>
      </c>
      <c r="H35" t="inlineStr">
        <is>
          <t>1</t>
        </is>
      </c>
      <c r="I35" t="inlineStr">
        <is>
          <t>Encounter.reasonCode</t>
        </is>
      </c>
      <c r="J35" t="inlineStr">
        <is>
          <t>Encounter.reasonCode</t>
        </is>
      </c>
      <c r="K35" t="inlineStr">
        <is>
          <t>Chief complaint; CMT: 8.4% fill</t>
        </is>
      </c>
      <c r="L35" t="inlineStr">
        <is>
          <t>mapped</t>
        </is>
      </c>
    </row>
    <row r="36">
      <c r="A36" t="inlineStr">
        <is>
          <t>ADT</t>
        </is>
      </c>
      <c r="B36" t="inlineStr">
        <is>
          <t>A08</t>
        </is>
      </c>
      <c r="C36" t="inlineStr">
        <is>
          <t>PV1</t>
        </is>
      </c>
      <c r="D36" t="inlineStr">
        <is>
          <t>PV1-3</t>
        </is>
      </c>
      <c r="E36" t="inlineStr">
        <is>
          <t>Point of Care</t>
        </is>
      </c>
      <c r="F36" t="inlineStr">
        <is>
          <t>IS</t>
        </is>
      </c>
      <c r="G36" t="inlineStr">
        <is>
          <t>O</t>
        </is>
      </c>
      <c r="H36" t="inlineStr">
        <is>
          <t>1</t>
        </is>
      </c>
      <c r="I36" t="inlineStr">
        <is>
          <t>Encounter.location</t>
        </is>
      </c>
      <c r="J36" t="inlineStr">
        <is>
          <t>Encounter.location</t>
        </is>
      </c>
      <c r="K36" t="inlineStr">
        <is>
          <t>CMT: 99.67% fill</t>
        </is>
      </c>
      <c r="L36" t="inlineStr">
        <is>
          <t>mapped</t>
        </is>
      </c>
    </row>
    <row r="37">
      <c r="A37" t="inlineStr">
        <is>
          <t>ADT</t>
        </is>
      </c>
      <c r="B37" t="inlineStr">
        <is>
          <t>A08</t>
        </is>
      </c>
      <c r="C37" t="inlineStr">
        <is>
          <t>PV1</t>
        </is>
      </c>
      <c r="D37" t="inlineStr">
        <is>
          <t>PV1-3</t>
        </is>
      </c>
      <c r="E37" t="inlineStr">
        <is>
          <t>Room</t>
        </is>
      </c>
      <c r="F37" t="inlineStr">
        <is>
          <t>IS</t>
        </is>
      </c>
      <c r="G37" t="inlineStr">
        <is>
          <t>O</t>
        </is>
      </c>
      <c r="H37" t="inlineStr">
        <is>
          <t>1</t>
        </is>
      </c>
      <c r="I37" t="inlineStr">
        <is>
          <t>Encounter.location</t>
        </is>
      </c>
      <c r="J37" t="inlineStr">
        <is>
          <t>Encounter.location</t>
        </is>
      </c>
      <c r="K37" t="inlineStr">
        <is>
          <t>CMT: 81.61% fill</t>
        </is>
      </c>
      <c r="L37" t="inlineStr">
        <is>
          <t>mapped</t>
        </is>
      </c>
    </row>
    <row r="38">
      <c r="A38" t="inlineStr">
        <is>
          <t>ADT</t>
        </is>
      </c>
      <c r="B38" t="inlineStr">
        <is>
          <t>A08</t>
        </is>
      </c>
      <c r="C38" t="inlineStr">
        <is>
          <t>PV1</t>
        </is>
      </c>
      <c r="D38" t="inlineStr">
        <is>
          <t>PV1-3</t>
        </is>
      </c>
      <c r="E38" t="inlineStr">
        <is>
          <t>Bed</t>
        </is>
      </c>
      <c r="F38" t="inlineStr">
        <is>
          <t>IS</t>
        </is>
      </c>
      <c r="G38" t="inlineStr">
        <is>
          <t>O</t>
        </is>
      </c>
      <c r="H38" t="inlineStr">
        <is>
          <t>1</t>
        </is>
      </c>
      <c r="I38" t="inlineStr">
        <is>
          <t>Encounter.location</t>
        </is>
      </c>
      <c r="J38" t="inlineStr">
        <is>
          <t>Encounter.location</t>
        </is>
      </c>
      <c r="K38" t="inlineStr">
        <is>
          <t>CMT: 81.42% fill</t>
        </is>
      </c>
      <c r="L38" t="inlineStr">
        <is>
          <t>mapped</t>
        </is>
      </c>
    </row>
    <row r="39">
      <c r="A39" t="inlineStr">
        <is>
          <t>ADT</t>
        </is>
      </c>
      <c r="B39" t="inlineStr">
        <is>
          <t>A08</t>
        </is>
      </c>
      <c r="C39" t="inlineStr">
        <is>
          <t>PV1</t>
        </is>
      </c>
      <c r="D39" t="inlineStr">
        <is>
          <t>PV1-3</t>
        </is>
      </c>
      <c r="E39" t="inlineStr">
        <is>
          <t>Facility ID</t>
        </is>
      </c>
      <c r="F39" t="inlineStr">
        <is>
          <t>HD</t>
        </is>
      </c>
      <c r="G39" t="inlineStr">
        <is>
          <t>O</t>
        </is>
      </c>
      <c r="H39" t="inlineStr">
        <is>
          <t>1</t>
        </is>
      </c>
      <c r="I39" t="inlineStr">
        <is>
          <t>Encounter.serviceProvider</t>
        </is>
      </c>
      <c r="J39" t="inlineStr">
        <is>
          <t>Encounter.serviceProvider</t>
        </is>
      </c>
      <c r="K39" t="inlineStr">
        <is>
          <t>Facility ID; CMT: 98.73% fill</t>
        </is>
      </c>
      <c r="L39" t="inlineStr">
        <is>
          <t>mapped</t>
        </is>
      </c>
    </row>
    <row r="40">
      <c r="A40" t="inlineStr">
        <is>
          <t>ADT</t>
        </is>
      </c>
      <c r="B40" t="inlineStr">
        <is>
          <t>A08</t>
        </is>
      </c>
      <c r="C40" t="inlineStr">
        <is>
          <t>PV1</t>
        </is>
      </c>
      <c r="D40" t="inlineStr">
        <is>
          <t>PV1-10</t>
        </is>
      </c>
      <c r="E40" t="inlineStr">
        <is>
          <t>Service Type Code</t>
        </is>
      </c>
      <c r="F40" t="inlineStr">
        <is>
          <t>CE</t>
        </is>
      </c>
      <c r="G40" t="inlineStr">
        <is>
          <t>R</t>
        </is>
      </c>
      <c r="H40" t="inlineStr">
        <is>
          <t>1</t>
        </is>
      </c>
      <c r="I40" t="inlineStr">
        <is>
          <t>Encounter.serviceType</t>
        </is>
      </c>
      <c r="J40" t="inlineStr">
        <is>
          <t>Encounter.serviceType</t>
        </is>
      </c>
      <c r="K40" t="inlineStr">
        <is>
          <t>CMT: 99.99% fill</t>
        </is>
      </c>
      <c r="L40" t="inlineStr">
        <is>
          <t>mapped</t>
        </is>
      </c>
    </row>
    <row r="41">
      <c r="A41" t="inlineStr">
        <is>
          <t>ADT</t>
        </is>
      </c>
      <c r="B41" t="inlineStr">
        <is>
          <t>A08</t>
        </is>
      </c>
      <c r="C41" t="inlineStr">
        <is>
          <t>PD1</t>
        </is>
      </c>
      <c r="D41" t="inlineStr">
        <is>
          <t>PD1-4</t>
        </is>
      </c>
      <c r="E41" t="inlineStr">
        <is>
          <t>PCP Id</t>
        </is>
      </c>
      <c r="F41" t="inlineStr">
        <is>
          <t>XCN</t>
        </is>
      </c>
      <c r="G41" t="inlineStr">
        <is>
          <t>R</t>
        </is>
      </c>
      <c r="H41" t="inlineStr">
        <is>
          <t>1</t>
        </is>
      </c>
      <c r="I41" t="inlineStr">
        <is>
          <t>Encounter.participant</t>
        </is>
      </c>
      <c r="J41" t="inlineStr">
        <is>
          <t>Encounter.participant.actor</t>
        </is>
      </c>
      <c r="K41" t="inlineStr">
        <is>
          <t>CMT: 0% fill</t>
        </is>
      </c>
      <c r="L41" t="inlineStr">
        <is>
          <t>mapped</t>
        </is>
      </c>
    </row>
    <row r="42">
      <c r="A42" t="inlineStr">
        <is>
          <t>ADT</t>
        </is>
      </c>
      <c r="B42" t="inlineStr">
        <is>
          <t>A08</t>
        </is>
      </c>
      <c r="C42" t="inlineStr">
        <is>
          <t>PD1</t>
        </is>
      </c>
      <c r="D42" t="inlineStr">
        <is>
          <t>PD1-4</t>
        </is>
      </c>
      <c r="E42" t="inlineStr">
        <is>
          <t>PCP Last Name</t>
        </is>
      </c>
      <c r="F42" t="inlineStr">
        <is>
          <t>XCN</t>
        </is>
      </c>
      <c r="G42" t="inlineStr">
        <is>
          <t>R</t>
        </is>
      </c>
      <c r="H42" t="inlineStr">
        <is>
          <t>1</t>
        </is>
      </c>
      <c r="I42" t="inlineStr">
        <is>
          <t>Encounter.participant</t>
        </is>
      </c>
      <c r="J42" t="inlineStr">
        <is>
          <t>Encounter.participant.actor</t>
        </is>
      </c>
      <c r="K42" t="inlineStr">
        <is>
          <t>CMT: 0% fill</t>
        </is>
      </c>
      <c r="L42" t="inlineStr">
        <is>
          <t>mapped</t>
        </is>
      </c>
    </row>
    <row r="43">
      <c r="A43" t="inlineStr">
        <is>
          <t>ADT</t>
        </is>
      </c>
      <c r="B43" t="inlineStr">
        <is>
          <t>A08</t>
        </is>
      </c>
      <c r="C43" t="inlineStr">
        <is>
          <t>PD1</t>
        </is>
      </c>
      <c r="D43" t="inlineStr">
        <is>
          <t>PD1-4</t>
        </is>
      </c>
      <c r="E43" t="inlineStr">
        <is>
          <t>PCP First Name</t>
        </is>
      </c>
      <c r="F43" t="inlineStr">
        <is>
          <t>XCN</t>
        </is>
      </c>
      <c r="G43" t="inlineStr">
        <is>
          <t>R</t>
        </is>
      </c>
      <c r="H43" t="inlineStr">
        <is>
          <t>1</t>
        </is>
      </c>
      <c r="I43" t="inlineStr">
        <is>
          <t>Encounter.participant</t>
        </is>
      </c>
      <c r="J43" t="inlineStr">
        <is>
          <t>Encounter.participant.actor</t>
        </is>
      </c>
      <c r="K43" t="inlineStr">
        <is>
          <t>CMT: 0% fill</t>
        </is>
      </c>
      <c r="L43" t="inlineStr">
        <is>
          <t>mapped</t>
        </is>
      </c>
    </row>
    <row r="44">
      <c r="A44" t="inlineStr">
        <is>
          <t>ADT</t>
        </is>
      </c>
      <c r="B44" t="inlineStr">
        <is>
          <t>A08</t>
        </is>
      </c>
      <c r="C44" t="inlineStr">
        <is>
          <t>IN1</t>
        </is>
      </c>
      <c r="D44" t="inlineStr">
        <is>
          <t>IN1-36</t>
        </is>
      </c>
      <c r="E44" t="inlineStr">
        <is>
          <t>Insurance Plan ID</t>
        </is>
      </c>
      <c r="F44" t="inlineStr">
        <is>
          <t>ST</t>
        </is>
      </c>
      <c r="G44" t="inlineStr">
        <is>
          <t>R</t>
        </is>
      </c>
      <c r="H44" t="inlineStr">
        <is>
          <t>1</t>
        </is>
      </c>
      <c r="I44" t="inlineStr">
        <is>
          <t>Coverage.identifier</t>
        </is>
      </c>
      <c r="J44" t="inlineStr">
        <is>
          <t>Coverage.identifier</t>
        </is>
      </c>
      <c r="K44" t="inlineStr">
        <is>
          <t>CMT: 99.26% fill</t>
        </is>
      </c>
      <c r="L44" t="inlineStr">
        <is>
          <t>mapped</t>
        </is>
      </c>
    </row>
    <row r="45">
      <c r="A45" t="inlineStr">
        <is>
          <t>ADT</t>
        </is>
      </c>
      <c r="B45" t="inlineStr">
        <is>
          <t>A08</t>
        </is>
      </c>
      <c r="C45" t="inlineStr">
        <is>
          <t>IN1</t>
        </is>
      </c>
      <c r="D45" t="inlineStr">
        <is>
          <t>IN1-4</t>
        </is>
      </c>
      <c r="E45" t="inlineStr">
        <is>
          <t>Payer Name</t>
        </is>
      </c>
      <c r="F45" t="inlineStr">
        <is>
          <t>XON</t>
        </is>
      </c>
      <c r="G45" t="inlineStr">
        <is>
          <t>O</t>
        </is>
      </c>
      <c r="H45" t="inlineStr">
        <is>
          <t>1</t>
        </is>
      </c>
      <c r="I45" t="inlineStr">
        <is>
          <t>Coverage.payor</t>
        </is>
      </c>
      <c r="J45" t="inlineStr">
        <is>
          <t>Coverage.payor</t>
        </is>
      </c>
      <c r="K45" t="inlineStr">
        <is>
          <t>CMT: 100% fill</t>
        </is>
      </c>
      <c r="L45" t="inlineStr">
        <is>
          <t>mapped</t>
        </is>
      </c>
    </row>
    <row r="46">
      <c r="A46" t="inlineStr">
        <is>
          <t>ADT</t>
        </is>
      </c>
      <c r="B46" t="inlineStr">
        <is>
          <t>A08</t>
        </is>
      </c>
      <c r="C46" t="inlineStr">
        <is>
          <t>DG1</t>
        </is>
      </c>
      <c r="D46" t="inlineStr">
        <is>
          <t>DG1-2</t>
        </is>
      </c>
      <c r="E46" t="inlineStr">
        <is>
          <t>Primary Diagnosis Coding System</t>
        </is>
      </c>
      <c r="F46" t="inlineStr">
        <is>
          <t>CE</t>
        </is>
      </c>
      <c r="G46" t="inlineStr">
        <is>
          <t>R</t>
        </is>
      </c>
      <c r="H46" t="inlineStr">
        <is>
          <t>1</t>
        </is>
      </c>
      <c r="I46" t="inlineStr">
        <is>
          <t>Condition.code</t>
        </is>
      </c>
      <c r="J46" t="inlineStr">
        <is>
          <t>Condition.code</t>
        </is>
      </c>
      <c r="K46" t="inlineStr">
        <is>
          <t>CMT: 48.37% fill</t>
        </is>
      </c>
      <c r="L46" t="inlineStr">
        <is>
          <t>mapped</t>
        </is>
      </c>
    </row>
    <row r="47">
      <c r="A47" t="inlineStr">
        <is>
          <t>ADT</t>
        </is>
      </c>
      <c r="B47" t="inlineStr">
        <is>
          <t>A08</t>
        </is>
      </c>
      <c r="C47" t="inlineStr">
        <is>
          <t>DG1</t>
        </is>
      </c>
      <c r="D47" t="inlineStr">
        <is>
          <t>DG1-3</t>
        </is>
      </c>
      <c r="E47" t="inlineStr">
        <is>
          <t>Primary Diagnosis code</t>
        </is>
      </c>
      <c r="F47" t="inlineStr">
        <is>
          <t>CE</t>
        </is>
      </c>
      <c r="G47" t="inlineStr">
        <is>
          <t>R</t>
        </is>
      </c>
      <c r="H47" t="inlineStr">
        <is>
          <t>1</t>
        </is>
      </c>
      <c r="I47" t="inlineStr">
        <is>
          <t>Condition.code</t>
        </is>
      </c>
      <c r="J47" t="inlineStr">
        <is>
          <t>Condition.code</t>
        </is>
      </c>
      <c r="K47" t="inlineStr">
        <is>
          <t>CMT: 48.4% fill</t>
        </is>
      </c>
      <c r="L47" t="inlineStr">
        <is>
          <t>mapped</t>
        </is>
      </c>
    </row>
    <row r="48">
      <c r="A48" t="inlineStr">
        <is>
          <t>ADT</t>
        </is>
      </c>
      <c r="B48" t="inlineStr">
        <is>
          <t>A08</t>
        </is>
      </c>
      <c r="C48" t="inlineStr">
        <is>
          <t>DG1</t>
        </is>
      </c>
      <c r="D48" t="inlineStr">
        <is>
          <t>DG1-3</t>
        </is>
      </c>
      <c r="E48" t="inlineStr">
        <is>
          <t>Primary Diagnosis Name</t>
        </is>
      </c>
      <c r="F48" t="inlineStr">
        <is>
          <t>ST</t>
        </is>
      </c>
      <c r="G48" t="inlineStr">
        <is>
          <t>O</t>
        </is>
      </c>
      <c r="H48" t="inlineStr">
        <is>
          <t>1</t>
        </is>
      </c>
      <c r="I48" t="inlineStr">
        <is>
          <t>Condition.code</t>
        </is>
      </c>
      <c r="J48" t="inlineStr">
        <is>
          <t>Condition.code.text</t>
        </is>
      </c>
      <c r="K48" t="inlineStr">
        <is>
          <t>CMT: 99.98% fill</t>
        </is>
      </c>
      <c r="L48" t="inlineStr">
        <is>
          <t>mapped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6" customWidth="1" min="3" max="3"/>
    <col width="38" customWidth="1" min="4" max="4"/>
    <col width="29" customWidth="1" min="5" max="5"/>
    <col width="38"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row r="36">
      <c r="A36" t="inlineStr">
        <is>
          <t>CCDA</t>
        </is>
      </c>
      <c r="B36" t="inlineStr">
        <is>
          <t>Patient Demographics</t>
        </is>
      </c>
      <c r="C36" t="inlineStr">
        <is>
          <t>raceCode</t>
        </is>
      </c>
      <c r="D36" t="inlineStr">
        <is>
          <t>/ClinicalDocument/recordTarget/patientRole/patient/raceCode</t>
        </is>
      </c>
      <c r="E36" t="inlineStr">
        <is>
          <t>Patient.race</t>
        </is>
      </c>
      <c r="F36" t="inlineStr">
        <is>
          <t>Patient.extension(us-core-race)</t>
        </is>
      </c>
      <c r="G36" t="inlineStr">
        <is>
          <t>USCDI Race; CDCREC terminology; POC stewardship row</t>
        </is>
      </c>
      <c r="H36" t="inlineStr">
        <is>
          <t>mapped</t>
        </is>
      </c>
    </row>
    <row r="37">
      <c r="A37" t="inlineStr">
        <is>
          <t>CCDA</t>
        </is>
      </c>
      <c r="B37" t="inlineStr">
        <is>
          <t>Patient Demographics</t>
        </is>
      </c>
      <c r="C37" t="inlineStr">
        <is>
          <t>ethnicGroupCode</t>
        </is>
      </c>
      <c r="D37" t="inlineStr">
        <is>
          <t>/ClinicalDocument/recordTarget/patientRole/patient/ethnicGroupCode</t>
        </is>
      </c>
      <c r="E37" t="inlineStr">
        <is>
          <t>Patient.ethnicity</t>
        </is>
      </c>
      <c r="F37" t="inlineStr">
        <is>
          <t>Patient.extension(us-core-ethnicity)</t>
        </is>
      </c>
      <c r="G37" t="inlineStr">
        <is>
          <t>USCDI Ethnicity; CDCREC terminology; POC stewardship row</t>
        </is>
      </c>
      <c r="H37" t="inlineStr">
        <is>
          <t>mapped</t>
        </is>
      </c>
    </row>
    <row r="38">
      <c r="A38" t="inlineStr">
        <is>
          <t>CCDA</t>
        </is>
      </c>
      <c r="B38" t="inlineStr">
        <is>
          <t>Patient Demographics</t>
        </is>
      </c>
      <c r="C38" t="inlineStr">
        <is>
          <t>languageCommunication</t>
        </is>
      </c>
      <c r="D38" t="inlineStr">
        <is>
          <t>/ClinicalDocument/recordTarget/patientRole/patient/languageCommunication/languageCode</t>
        </is>
      </c>
      <c r="E38" t="inlineStr">
        <is>
          <t>Patient.language</t>
        </is>
      </c>
      <c r="F38" t="inlineStr">
        <is>
          <t>Patient.communication.language</t>
        </is>
      </c>
      <c r="G38" t="inlineStr">
        <is>
          <t>BCP 47 binding; POC stewardship row</t>
        </is>
      </c>
      <c r="H38" t="inlineStr">
        <is>
          <t>mapped</t>
        </is>
      </c>
    </row>
    <row r="39">
      <c r="A39" t="inlineStr">
        <is>
          <t>CCDA</t>
        </is>
      </c>
      <c r="B39" t="inlineStr">
        <is>
          <t>Patient Demographics</t>
        </is>
      </c>
      <c r="C39" t="inlineStr">
        <is>
          <t>administrativeGenderCode</t>
        </is>
      </c>
      <c r="D39" t="inlineStr">
        <is>
          <t>/ClinicalDocument/recordTarget/patientRole/patient/administrativeGenderCode</t>
        </is>
      </c>
      <c r="E39" t="inlineStr">
        <is>
          <t>Patient.birth_sex</t>
        </is>
      </c>
      <c r="F39" t="inlineStr">
        <is>
          <t>Patient.extension(us-core-birthsex)</t>
        </is>
      </c>
      <c r="G39" t="inlineStr">
        <is>
          <t>Administrative sex; not gender identity; POC stewardship row</t>
        </is>
      </c>
      <c r="H39" t="inlineStr">
        <is>
          <t>mapped</t>
        </is>
      </c>
    </row>
    <row r="40">
      <c r="A40" t="inlineStr">
        <is>
          <t>CCDA</t>
        </is>
      </c>
      <c r="B40" t="inlineStr">
        <is>
          <t>Patient Demographics</t>
        </is>
      </c>
      <c r="C40" t="inlineStr">
        <is>
          <t>note</t>
        </is>
      </c>
      <c r="D40" t="inlineStr"/>
      <c r="E40" t="inlineStr">
        <is>
          <t>Patient.gender_id</t>
        </is>
      </c>
      <c r="F40" t="inlineStr">
        <is>
          <t>Observation.valueCodeableConcept (LOINC 76691-5)</t>
        </is>
      </c>
      <c r="G40" t="inlineStr">
        <is>
          <t>Gender identity rarely in CCDA; govern via FHIR US Core Observation</t>
        </is>
      </c>
      <c r="H40" t="inlineStr">
        <is>
          <t>partial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37" customWidth="1" min="3" max="3"/>
    <col width="38" customWidth="1" min="4" max="4"/>
    <col width="38" customWidth="1" min="5" max="5"/>
    <col width="19" customWidth="1" min="6" max="6"/>
    <col width="18" customWidth="1" min="7" max="7"/>
    <col width="38" customWidth="1" min="8" max="8"/>
    <col width="38" customWidth="1" min="9" max="9"/>
    <col width="17" customWidth="1" min="10" max="10"/>
    <col width="38" customWidth="1" min="11" max="11"/>
  </cols>
  <sheetData>
    <row r="1">
      <c r="A1" s="4" t="inlineStr">
        <is>
          <t>semantic_id</t>
        </is>
      </c>
      <c r="B1" s="4" t="inlineStr">
        <is>
          <t>binding_role</t>
        </is>
      </c>
      <c r="C1" s="4" t="inlineStr">
        <is>
          <t>value_set_name</t>
        </is>
      </c>
      <c r="D1" s="4" t="inlineStr">
        <is>
          <t>value_set_url</t>
        </is>
      </c>
      <c r="E1" s="4" t="inlineStr">
        <is>
          <t>code_system_oid</t>
        </is>
      </c>
      <c r="F1" s="4" t="inlineStr">
        <is>
          <t>code_system_name</t>
        </is>
      </c>
      <c r="G1" s="4" t="inlineStr">
        <is>
          <t>binding_strength</t>
        </is>
      </c>
      <c r="H1" s="4" t="inlineStr">
        <is>
          <t>fhir_element</t>
        </is>
      </c>
      <c r="I1" s="4" t="inlineStr">
        <is>
          <t>authority_reference</t>
        </is>
      </c>
      <c r="J1" s="4" t="inlineStr">
        <is>
          <t>approval_status</t>
        </is>
      </c>
      <c r="K1" s="4" t="inlineStr">
        <is>
          <t>notes</t>
        </is>
      </c>
    </row>
    <row r="2">
      <c r="A2" t="inlineStr">
        <is>
          <t>Patient.race</t>
        </is>
      </c>
      <c r="B2" t="inlineStr">
        <is>
          <t>primary</t>
        </is>
      </c>
      <c r="C2" t="inlineStr">
        <is>
          <t>HL7 Race</t>
        </is>
      </c>
      <c r="D2" t="inlineStr">
        <is>
          <t>http://terminology.hl7.org/ValueSet/v3-Race</t>
        </is>
      </c>
      <c r="E2" t="inlineStr">
        <is>
          <t>urn:oid:2.16.840.1.113883.6.238</t>
        </is>
      </c>
      <c r="F2" t="inlineStr">
        <is>
          <t>CDCREC</t>
        </is>
      </c>
      <c r="G2" t="inlineStr">
        <is>
          <t>required</t>
        </is>
      </c>
      <c r="H2" t="inlineStr">
        <is>
          <t>Patient.extension(us-core-race).ombCategory</t>
        </is>
      </c>
      <c r="I2" t="inlineStr">
        <is>
          <t>docs/shie-standards-reference.md#cdcrec-race-codes-omb-rollup-examples</t>
        </is>
      </c>
      <c r="J2" t="inlineStr">
        <is>
          <t>Approved</t>
        </is>
      </c>
      <c r="K2" t="inlineStr">
        <is>
          <t>US Core us-core-race: ombCategory required; detailed optional.</t>
        </is>
      </c>
    </row>
    <row r="3">
      <c r="A3" t="inlineStr">
        <is>
          <t>Patient.ethnicity</t>
        </is>
      </c>
      <c r="B3" t="inlineStr">
        <is>
          <t>primary</t>
        </is>
      </c>
      <c r="C3" t="inlineStr">
        <is>
          <t>HL7 Ethnicity</t>
        </is>
      </c>
      <c r="D3" t="inlineStr">
        <is>
          <t>http://terminology.hl7.org/ValueSet/v3-Ethnicity</t>
        </is>
      </c>
      <c r="E3" t="inlineStr">
        <is>
          <t>urn:oid:2.16.840.1.113883.6.238</t>
        </is>
      </c>
      <c r="F3" t="inlineStr">
        <is>
          <t>CDCREC</t>
        </is>
      </c>
      <c r="G3" t="inlineStr">
        <is>
          <t>required</t>
        </is>
      </c>
      <c r="H3" t="inlineStr">
        <is>
          <t>Patient.extension(us-core-ethnicity).ombCategory</t>
        </is>
      </c>
      <c r="I3" t="inlineStr">
        <is>
          <t>docs/shie-standards-reference.md#cdcrec-ethnicity-codes-examples</t>
        </is>
      </c>
      <c r="J3" t="inlineStr">
        <is>
          <t>Approved</t>
        </is>
      </c>
      <c r="K3" t="inlineStr">
        <is>
          <t>US Core us-core-ethnicity extension.</t>
        </is>
      </c>
    </row>
    <row r="4">
      <c r="A4" t="inlineStr">
        <is>
          <t>Patient.language</t>
        </is>
      </c>
      <c r="B4" t="inlineStr">
        <is>
          <t>primary</t>
        </is>
      </c>
      <c r="C4" t="inlineStr">
        <is>
          <t>FHIR Languages (BCP 47)</t>
        </is>
      </c>
      <c r="D4" t="inlineStr">
        <is>
          <t>http://hl7.org/fhir/ValueSet/languages</t>
        </is>
      </c>
      <c r="E4" t="inlineStr">
        <is>
          <t>urn:ietf:bcp:47</t>
        </is>
      </c>
      <c r="F4" t="inlineStr">
        <is>
          <t>BCP 47</t>
        </is>
      </c>
      <c r="G4" t="inlineStr">
        <is>
          <t>required</t>
        </is>
      </c>
      <c r="H4" t="inlineStr">
        <is>
          <t>Patient.communication.language</t>
        </is>
      </c>
      <c r="I4" t="inlineStr">
        <is>
          <t>docs/shie-standards-reference.md</t>
        </is>
      </c>
      <c r="J4" t="inlineStr">
        <is>
          <t>Approved</t>
        </is>
      </c>
      <c r="K4" t="inlineStr">
        <is>
          <t>Primary FHIR binding; ISO 639 for stewardship crosswalk only.</t>
        </is>
      </c>
    </row>
    <row r="5">
      <c r="A5" t="inlineStr">
        <is>
          <t>Patient.gender_id</t>
        </is>
      </c>
      <c r="B5" t="inlineStr">
        <is>
          <t>primary</t>
        </is>
      </c>
      <c r="C5" t="inlineStr">
        <is>
          <t>US Core Gender Identity Observation</t>
        </is>
      </c>
      <c r="D5" t="inlineStr">
        <is>
          <t>http://hl7.org/fhir/us/core/StructureDefinition/us-core-observation-social-history</t>
        </is>
      </c>
      <c r="E5" t="inlineStr">
        <is>
          <t>urn:oid:2.16.840.1.113883.6.1</t>
        </is>
      </c>
      <c r="F5" t="inlineStr">
        <is>
          <t>LOINC</t>
        </is>
      </c>
      <c r="G5" t="inlineStr">
        <is>
          <t>required</t>
        </is>
      </c>
      <c r="H5" t="inlineStr">
        <is>
          <t>Observation.code (LOINC 76691-5)</t>
        </is>
      </c>
      <c r="I5" t="inlineStr">
        <is>
          <t>docs/shie-standards-reference.md</t>
        </is>
      </c>
      <c r="J5" t="inlineStr">
        <is>
          <t>Approved</t>
        </is>
      </c>
      <c r="K5" t="inlineStr">
        <is>
          <t>Answer values often SNOMED-coded; expand members from US Core / partner intake.</t>
        </is>
      </c>
    </row>
    <row r="6">
      <c r="A6" t="inlineStr">
        <is>
          <t>Patient.birth_sex</t>
        </is>
      </c>
      <c r="B6" t="inlineStr">
        <is>
          <t>primary</t>
        </is>
      </c>
      <c r="C6" t="inlineStr">
        <is>
          <t>US Core Birth Sex</t>
        </is>
      </c>
      <c r="D6" t="inlineStr">
        <is>
          <t>http://hl7.org/fhir/us/core/StructureDefinition/us-core-birthsex</t>
        </is>
      </c>
      <c r="E6" t="inlineStr">
        <is>
          <t>http://hl7.org/fhir/us/core/CodeSystem/birthsex</t>
        </is>
      </c>
      <c r="F6" t="inlineStr">
        <is>
          <t>US Core birth sex</t>
        </is>
      </c>
      <c r="G6" t="inlineStr">
        <is>
          <t>required</t>
        </is>
      </c>
      <c r="H6" t="inlineStr">
        <is>
          <t>Patient.extension(us-core-birthsex)</t>
        </is>
      </c>
      <c r="I6" t="inlineStr">
        <is>
          <t>docs/shie-standards-reference.md</t>
        </is>
      </c>
      <c r="J6" t="inlineStr">
        <is>
          <t>Approved</t>
        </is>
      </c>
      <c r="K6" t="inlineStr">
        <is>
          <t>Administrative sex — not CDCREC; distinct from gender identity.</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9" customWidth="1" min="1" max="1"/>
    <col width="38" customWidth="1" min="2" max="2"/>
    <col width="12" customWidth="1" min="3" max="3"/>
    <col width="38" customWidth="1" min="4" max="4"/>
    <col width="16" customWidth="1" min="5" max="5"/>
    <col width="14" customWidth="1" min="6" max="6"/>
    <col width="18" customWidth="1" min="7" max="7"/>
    <col width="12" customWidth="1" min="8" max="8"/>
    <col width="12" customWidth="1" min="9" max="9"/>
    <col width="38" customWidth="1" min="10" max="10"/>
  </cols>
  <sheetData>
    <row r="1">
      <c r="A1" s="4" t="inlineStr">
        <is>
          <t>semantic_id</t>
        </is>
      </c>
      <c r="B1" s="4" t="inlineStr">
        <is>
          <t>code_system_oid</t>
        </is>
      </c>
      <c r="C1" s="4" t="inlineStr">
        <is>
          <t>code</t>
        </is>
      </c>
      <c r="D1" s="4" t="inlineStr">
        <is>
          <t>display</t>
        </is>
      </c>
      <c r="E1" s="4" t="inlineStr">
        <is>
          <t>member_type</t>
        </is>
      </c>
      <c r="F1" s="4" t="inlineStr">
        <is>
          <t>binding_role</t>
        </is>
      </c>
      <c r="G1" s="4" t="inlineStr">
        <is>
          <t>binding_strength</t>
        </is>
      </c>
      <c r="H1" s="4" t="inlineStr">
        <is>
          <t>active</t>
        </is>
      </c>
      <c r="I1" s="4" t="inlineStr">
        <is>
          <t>sort_order</t>
        </is>
      </c>
      <c r="J1" s="4" t="inlineStr">
        <is>
          <t>notes</t>
        </is>
      </c>
    </row>
    <row r="2">
      <c r="A2" t="inlineStr">
        <is>
          <t>Patient.race</t>
        </is>
      </c>
      <c r="B2" t="inlineStr">
        <is>
          <t>urn:oid:2.16.840.1.113883.6.238</t>
        </is>
      </c>
      <c r="C2" t="inlineStr">
        <is>
          <t>1002-5</t>
        </is>
      </c>
      <c r="D2" t="inlineStr">
        <is>
          <t>American Indian or Alaska Native</t>
        </is>
      </c>
      <c r="E2" t="inlineStr">
        <is>
          <t>omb_rollup</t>
        </is>
      </c>
      <c r="F2" t="inlineStr">
        <is>
          <t>primary</t>
        </is>
      </c>
      <c r="G2" t="inlineStr">
        <is>
          <t>required</t>
        </is>
      </c>
      <c r="H2" t="inlineStr">
        <is>
          <t>true</t>
        </is>
      </c>
      <c r="I2" t="inlineStr">
        <is>
          <t>1</t>
        </is>
      </c>
      <c r="J2" t="inlineStr">
        <is>
          <t>HL7 Race Value Set / CDC PHIN reporting rollup</t>
        </is>
      </c>
    </row>
    <row r="3">
      <c r="A3" t="inlineStr">
        <is>
          <t>Patient.race</t>
        </is>
      </c>
      <c r="B3" t="inlineStr">
        <is>
          <t>urn:oid:2.16.840.1.113883.6.238</t>
        </is>
      </c>
      <c r="C3" t="inlineStr">
        <is>
          <t>2028-9</t>
        </is>
      </c>
      <c r="D3" t="inlineStr">
        <is>
          <t>Asian</t>
        </is>
      </c>
      <c r="E3" t="inlineStr">
        <is>
          <t>omb_rollup</t>
        </is>
      </c>
      <c r="F3" t="inlineStr">
        <is>
          <t>primary</t>
        </is>
      </c>
      <c r="G3" t="inlineStr">
        <is>
          <t>required</t>
        </is>
      </c>
      <c r="H3" t="inlineStr">
        <is>
          <t>true</t>
        </is>
      </c>
      <c r="I3" t="inlineStr">
        <is>
          <t>2</t>
        </is>
      </c>
      <c r="J3" t="inlineStr">
        <is>
          <t>HL7 Race Value Set / CDC PHIN reporting rollup</t>
        </is>
      </c>
    </row>
    <row r="4">
      <c r="A4" t="inlineStr">
        <is>
          <t>Patient.race</t>
        </is>
      </c>
      <c r="B4" t="inlineStr">
        <is>
          <t>urn:oid:2.16.840.1.113883.6.238</t>
        </is>
      </c>
      <c r="C4" t="inlineStr">
        <is>
          <t>2054-5</t>
        </is>
      </c>
      <c r="D4" t="inlineStr">
        <is>
          <t>Black or African American</t>
        </is>
      </c>
      <c r="E4" t="inlineStr">
        <is>
          <t>omb_rollup</t>
        </is>
      </c>
      <c r="F4" t="inlineStr">
        <is>
          <t>primary</t>
        </is>
      </c>
      <c r="G4" t="inlineStr">
        <is>
          <t>required</t>
        </is>
      </c>
      <c r="H4" t="inlineStr">
        <is>
          <t>true</t>
        </is>
      </c>
      <c r="I4" t="inlineStr">
        <is>
          <t>3</t>
        </is>
      </c>
      <c r="J4" t="inlineStr">
        <is>
          <t>HL7 Race Value Set / CDC PHIN reporting rollup</t>
        </is>
      </c>
    </row>
    <row r="5">
      <c r="A5" t="inlineStr">
        <is>
          <t>Patient.race</t>
        </is>
      </c>
      <c r="B5" t="inlineStr">
        <is>
          <t>urn:oid:2.16.840.1.113883.6.238</t>
        </is>
      </c>
      <c r="C5" t="inlineStr">
        <is>
          <t>2076-8</t>
        </is>
      </c>
      <c r="D5" t="inlineStr">
        <is>
          <t>Native Hawaiian or Other Pacific Islander</t>
        </is>
      </c>
      <c r="E5" t="inlineStr">
        <is>
          <t>omb_rollup</t>
        </is>
      </c>
      <c r="F5" t="inlineStr">
        <is>
          <t>primary</t>
        </is>
      </c>
      <c r="G5" t="inlineStr">
        <is>
          <t>required</t>
        </is>
      </c>
      <c r="H5" t="inlineStr">
        <is>
          <t>true</t>
        </is>
      </c>
      <c r="I5" t="inlineStr">
        <is>
          <t>4</t>
        </is>
      </c>
      <c r="J5" t="inlineStr">
        <is>
          <t>HL7 Race Value Set / CDC PHIN reporting rollup</t>
        </is>
      </c>
    </row>
    <row r="6">
      <c r="A6" t="inlineStr">
        <is>
          <t>Patient.race</t>
        </is>
      </c>
      <c r="B6" t="inlineStr">
        <is>
          <t>urn:oid:2.16.840.1.113883.6.238</t>
        </is>
      </c>
      <c r="C6" t="inlineStr">
        <is>
          <t>2106-3</t>
        </is>
      </c>
      <c r="D6" t="inlineStr">
        <is>
          <t>White</t>
        </is>
      </c>
      <c r="E6" t="inlineStr">
        <is>
          <t>omb_rollup</t>
        </is>
      </c>
      <c r="F6" t="inlineStr">
        <is>
          <t>primary</t>
        </is>
      </c>
      <c r="G6" t="inlineStr">
        <is>
          <t>required</t>
        </is>
      </c>
      <c r="H6" t="inlineStr">
        <is>
          <t>true</t>
        </is>
      </c>
      <c r="I6" t="inlineStr">
        <is>
          <t>5</t>
        </is>
      </c>
      <c r="J6" t="inlineStr">
        <is>
          <t>HL7 Race Value Set / CDC PHIN reporting rollup</t>
        </is>
      </c>
    </row>
    <row r="7">
      <c r="A7" t="inlineStr">
        <is>
          <t>Patient.race</t>
        </is>
      </c>
      <c r="B7" t="inlineStr">
        <is>
          <t>urn:oid:2.16.840.1.113883.6.238</t>
        </is>
      </c>
      <c r="C7" t="inlineStr">
        <is>
          <t>2131-1</t>
        </is>
      </c>
      <c r="D7" t="inlineStr">
        <is>
          <t>Other Race</t>
        </is>
      </c>
      <c r="E7" t="inlineStr">
        <is>
          <t>omb_rollup</t>
        </is>
      </c>
      <c r="F7" t="inlineStr">
        <is>
          <t>primary</t>
        </is>
      </c>
      <c r="G7" t="inlineStr">
        <is>
          <t>required</t>
        </is>
      </c>
      <c r="H7" t="inlineStr">
        <is>
          <t>true</t>
        </is>
      </c>
      <c r="I7" t="inlineStr">
        <is>
          <t>6</t>
        </is>
      </c>
      <c r="J7" t="inlineStr">
        <is>
          <t>HL7 Race Value Set / CDC PHIN reporting rollup</t>
        </is>
      </c>
    </row>
    <row r="8">
      <c r="A8" t="inlineStr">
        <is>
          <t>Patient.race</t>
        </is>
      </c>
      <c r="B8" t="inlineStr">
        <is>
          <t>urn:oid:2.16.840.1.113883.5.1008</t>
        </is>
      </c>
      <c r="C8" t="inlineStr">
        <is>
          <t>UNK</t>
        </is>
      </c>
      <c r="D8" t="inlineStr">
        <is>
          <t>Unknown</t>
        </is>
      </c>
      <c r="E8" t="inlineStr">
        <is>
          <t>nullflavor</t>
        </is>
      </c>
      <c r="F8" t="inlineStr">
        <is>
          <t>nullflavor</t>
        </is>
      </c>
      <c r="G8" t="inlineStr">
        <is>
          <t>example</t>
        </is>
      </c>
      <c r="H8" t="inlineStr">
        <is>
          <t>true</t>
        </is>
      </c>
      <c r="I8" t="inlineStr">
        <is>
          <t>10</t>
        </is>
      </c>
      <c r="J8" t="inlineStr">
        <is>
          <t>Do not collapse with valid race codes in reporting</t>
        </is>
      </c>
    </row>
    <row r="9">
      <c r="A9" t="inlineStr">
        <is>
          <t>Patient.race</t>
        </is>
      </c>
      <c r="B9" t="inlineStr">
        <is>
          <t>urn:oid:2.16.840.1.113883.5.1008</t>
        </is>
      </c>
      <c r="C9" t="inlineStr">
        <is>
          <t>ASKU</t>
        </is>
      </c>
      <c r="D9" t="inlineStr">
        <is>
          <t>Asked but not known</t>
        </is>
      </c>
      <c r="E9" t="inlineStr">
        <is>
          <t>nullflavor</t>
        </is>
      </c>
      <c r="F9" t="inlineStr">
        <is>
          <t>nullflavor</t>
        </is>
      </c>
      <c r="G9" t="inlineStr">
        <is>
          <t>example</t>
        </is>
      </c>
      <c r="H9" t="inlineStr">
        <is>
          <t>true</t>
        </is>
      </c>
      <c r="I9" t="inlineStr">
        <is>
          <t>11</t>
        </is>
      </c>
      <c r="J9" t="inlineStr">
        <is>
          <t>Do not collapse with valid race codes in reporting</t>
        </is>
      </c>
    </row>
    <row r="10">
      <c r="A10" t="inlineStr">
        <is>
          <t>Patient.race</t>
        </is>
      </c>
      <c r="B10" t="inlineStr">
        <is>
          <t>urn:oid:2.16.840.1.113883.5.1008</t>
        </is>
      </c>
      <c r="C10" t="inlineStr">
        <is>
          <t>NASK</t>
        </is>
      </c>
      <c r="D10" t="inlineStr">
        <is>
          <t>Not asked</t>
        </is>
      </c>
      <c r="E10" t="inlineStr">
        <is>
          <t>nullflavor</t>
        </is>
      </c>
      <c r="F10" t="inlineStr">
        <is>
          <t>nullflavor</t>
        </is>
      </c>
      <c r="G10" t="inlineStr">
        <is>
          <t>example</t>
        </is>
      </c>
      <c r="H10" t="inlineStr">
        <is>
          <t>true</t>
        </is>
      </c>
      <c r="I10" t="inlineStr">
        <is>
          <t>12</t>
        </is>
      </c>
      <c r="J10" t="inlineStr">
        <is>
          <t>Do not collapse with valid race codes in reporting</t>
        </is>
      </c>
    </row>
    <row r="11">
      <c r="A11" t="inlineStr">
        <is>
          <t>Patient.ethnicity</t>
        </is>
      </c>
      <c r="B11" t="inlineStr">
        <is>
          <t>urn:oid:2.16.840.1.113883.6.238</t>
        </is>
      </c>
      <c r="C11" t="inlineStr">
        <is>
          <t>2135-2</t>
        </is>
      </c>
      <c r="D11" t="inlineStr">
        <is>
          <t>Hispanic or Latino</t>
        </is>
      </c>
      <c r="E11" t="inlineStr">
        <is>
          <t>omb_rollup</t>
        </is>
      </c>
      <c r="F11" t="inlineStr">
        <is>
          <t>primary</t>
        </is>
      </c>
      <c r="G11" t="inlineStr">
        <is>
          <t>required</t>
        </is>
      </c>
      <c r="H11" t="inlineStr">
        <is>
          <t>true</t>
        </is>
      </c>
      <c r="I11" t="inlineStr">
        <is>
          <t>1</t>
        </is>
      </c>
      <c r="J11" t="inlineStr"/>
    </row>
    <row r="12">
      <c r="A12" t="inlineStr">
        <is>
          <t>Patient.ethnicity</t>
        </is>
      </c>
      <c r="B12" t="inlineStr">
        <is>
          <t>urn:oid:2.16.840.1.113883.6.238</t>
        </is>
      </c>
      <c r="C12" t="inlineStr">
        <is>
          <t>2186-5</t>
        </is>
      </c>
      <c r="D12" t="inlineStr">
        <is>
          <t>Not Hispanic or Latino</t>
        </is>
      </c>
      <c r="E12" t="inlineStr">
        <is>
          <t>omb_rollup</t>
        </is>
      </c>
      <c r="F12" t="inlineStr">
        <is>
          <t>primary</t>
        </is>
      </c>
      <c r="G12" t="inlineStr">
        <is>
          <t>required</t>
        </is>
      </c>
      <c r="H12" t="inlineStr">
        <is>
          <t>true</t>
        </is>
      </c>
      <c r="I12" t="inlineStr">
        <is>
          <t>2</t>
        </is>
      </c>
      <c r="J12" t="inlineStr"/>
    </row>
    <row r="13">
      <c r="A13" t="inlineStr">
        <is>
          <t>Patient.ethnicity</t>
        </is>
      </c>
      <c r="B13" t="inlineStr">
        <is>
          <t>urn:oid:2.16.840.1.113883.5.1008</t>
        </is>
      </c>
      <c r="C13" t="inlineStr">
        <is>
          <t>UNK</t>
        </is>
      </c>
      <c r="D13" t="inlineStr">
        <is>
          <t>Unknown</t>
        </is>
      </c>
      <c r="E13" t="inlineStr">
        <is>
          <t>nullflavor</t>
        </is>
      </c>
      <c r="F13" t="inlineStr">
        <is>
          <t>nullflavor</t>
        </is>
      </c>
      <c r="G13" t="inlineStr">
        <is>
          <t>example</t>
        </is>
      </c>
      <c r="H13" t="inlineStr">
        <is>
          <t>true</t>
        </is>
      </c>
      <c r="I13" t="inlineStr">
        <is>
          <t>10</t>
        </is>
      </c>
      <c r="J13" t="inlineStr">
        <is>
          <t>Distinct from patient-refused / declined in survivorship</t>
        </is>
      </c>
    </row>
    <row r="14">
      <c r="A14" t="inlineStr">
        <is>
          <t>Patient.language</t>
        </is>
      </c>
      <c r="B14" t="inlineStr">
        <is>
          <t>urn:ietf:bcp:47</t>
        </is>
      </c>
      <c r="C14" t="inlineStr">
        <is>
          <t>en</t>
        </is>
      </c>
      <c r="D14" t="inlineStr">
        <is>
          <t>English</t>
        </is>
      </c>
      <c r="E14" t="inlineStr">
        <is>
          <t>language_tag</t>
        </is>
      </c>
      <c r="F14" t="inlineStr">
        <is>
          <t>primary</t>
        </is>
      </c>
      <c r="G14" t="inlineStr">
        <is>
          <t>example</t>
        </is>
      </c>
      <c r="H14" t="inlineStr">
        <is>
          <t>true</t>
        </is>
      </c>
      <c r="I14" t="inlineStr">
        <is>
          <t>1</t>
        </is>
      </c>
      <c r="J14" t="inlineStr">
        <is>
          <t>Pilot examples; full list from IANA/BCP 47 — not duplicated locally</t>
        </is>
      </c>
    </row>
    <row r="15">
      <c r="A15" t="inlineStr">
        <is>
          <t>Patient.language</t>
        </is>
      </c>
      <c r="B15" t="inlineStr">
        <is>
          <t>urn:ietf:bcp:47</t>
        </is>
      </c>
      <c r="C15" t="inlineStr">
        <is>
          <t>es</t>
        </is>
      </c>
      <c r="D15" t="inlineStr">
        <is>
          <t>Spanish</t>
        </is>
      </c>
      <c r="E15" t="inlineStr">
        <is>
          <t>language_tag</t>
        </is>
      </c>
      <c r="F15" t="inlineStr">
        <is>
          <t>primary</t>
        </is>
      </c>
      <c r="G15" t="inlineStr">
        <is>
          <t>example</t>
        </is>
      </c>
      <c r="H15" t="inlineStr">
        <is>
          <t>true</t>
        </is>
      </c>
      <c r="I15" t="inlineStr">
        <is>
          <t>2</t>
        </is>
      </c>
      <c r="J15" t="inlineStr">
        <is>
          <t>Pilot examples; full list from IANA/BCP 47 — not duplicated locally</t>
        </is>
      </c>
    </row>
    <row r="16">
      <c r="A16" t="inlineStr">
        <is>
          <t>Patient.language</t>
        </is>
      </c>
      <c r="B16" t="inlineStr">
        <is>
          <t>urn:ietf:bcp:47</t>
        </is>
      </c>
      <c r="C16" t="inlineStr">
        <is>
          <t>zh</t>
        </is>
      </c>
      <c r="D16" t="inlineStr">
        <is>
          <t>Chinese</t>
        </is>
      </c>
      <c r="E16" t="inlineStr">
        <is>
          <t>language_tag</t>
        </is>
      </c>
      <c r="F16" t="inlineStr">
        <is>
          <t>primary</t>
        </is>
      </c>
      <c r="G16" t="inlineStr">
        <is>
          <t>example</t>
        </is>
      </c>
      <c r="H16" t="inlineStr">
        <is>
          <t>true</t>
        </is>
      </c>
      <c r="I16" t="inlineStr">
        <is>
          <t>3</t>
        </is>
      </c>
      <c r="J16" t="inlineStr">
        <is>
          <t>Pilot examples; full list from IANA/BCP 47 — not duplicated locally</t>
        </is>
      </c>
    </row>
    <row r="17">
      <c r="A17" t="inlineStr">
        <is>
          <t>Patient.language</t>
        </is>
      </c>
      <c r="B17" t="inlineStr">
        <is>
          <t>urn:ietf:bcp:47</t>
        </is>
      </c>
      <c r="C17" t="inlineStr">
        <is>
          <t>vi</t>
        </is>
      </c>
      <c r="D17" t="inlineStr">
        <is>
          <t>Vietnamese</t>
        </is>
      </c>
      <c r="E17" t="inlineStr">
        <is>
          <t>language_tag</t>
        </is>
      </c>
      <c r="F17" t="inlineStr">
        <is>
          <t>primary</t>
        </is>
      </c>
      <c r="G17" t="inlineStr">
        <is>
          <t>example</t>
        </is>
      </c>
      <c r="H17" t="inlineStr">
        <is>
          <t>true</t>
        </is>
      </c>
      <c r="I17" t="inlineStr">
        <is>
          <t>4</t>
        </is>
      </c>
      <c r="J17" t="inlineStr">
        <is>
          <t>Pilot examples; full list from IANA/BCP 47 — not duplicated locally</t>
        </is>
      </c>
    </row>
    <row r="18">
      <c r="A18" t="inlineStr">
        <is>
          <t>Patient.language</t>
        </is>
      </c>
      <c r="B18" t="inlineStr">
        <is>
          <t>urn:ietf:bcp:47</t>
        </is>
      </c>
      <c r="C18" t="inlineStr">
        <is>
          <t>ar</t>
        </is>
      </c>
      <c r="D18" t="inlineStr">
        <is>
          <t>Arabic</t>
        </is>
      </c>
      <c r="E18" t="inlineStr">
        <is>
          <t>language_tag</t>
        </is>
      </c>
      <c r="F18" t="inlineStr">
        <is>
          <t>primary</t>
        </is>
      </c>
      <c r="G18" t="inlineStr">
        <is>
          <t>example</t>
        </is>
      </c>
      <c r="H18" t="inlineStr">
        <is>
          <t>true</t>
        </is>
      </c>
      <c r="I18" t="inlineStr">
        <is>
          <t>5</t>
        </is>
      </c>
      <c r="J18" t="inlineStr">
        <is>
          <t>Pilot examples; full list from IANA/BCP 47 — not duplicated locally</t>
        </is>
      </c>
    </row>
    <row r="19">
      <c r="A19" t="inlineStr">
        <is>
          <t>Patient.language</t>
        </is>
      </c>
      <c r="B19" t="inlineStr">
        <is>
          <t>urn:ietf:bcp:47</t>
        </is>
      </c>
      <c r="C19" t="inlineStr">
        <is>
          <t>und</t>
        </is>
      </c>
      <c r="D19" t="inlineStr">
        <is>
          <t>Undetermined</t>
        </is>
      </c>
      <c r="E19" t="inlineStr">
        <is>
          <t>exclude</t>
        </is>
      </c>
      <c r="F19" t="inlineStr">
        <is>
          <t>primary</t>
        </is>
      </c>
      <c r="G19" t="inlineStr">
        <is>
          <t>example</t>
        </is>
      </c>
      <c r="H19" t="inlineStr">
        <is>
          <t>true</t>
        </is>
      </c>
      <c r="I19" t="inlineStr">
        <is>
          <t>90</t>
        </is>
      </c>
      <c r="J19" t="inlineStr">
        <is>
          <t>Excluded from county aggregates per survivorship</t>
        </is>
      </c>
    </row>
    <row r="20">
      <c r="A20" t="inlineStr">
        <is>
          <t>Patient.birth_sex</t>
        </is>
      </c>
      <c r="B20" t="inlineStr">
        <is>
          <t>http://hl7.org/fhir/us/core/CodeSystem/birthsex</t>
        </is>
      </c>
      <c r="C20" t="inlineStr">
        <is>
          <t>M</t>
        </is>
      </c>
      <c r="D20" t="inlineStr">
        <is>
          <t>Male</t>
        </is>
      </c>
      <c r="E20" t="inlineStr">
        <is>
          <t>administrative</t>
        </is>
      </c>
      <c r="F20" t="inlineStr">
        <is>
          <t>primary</t>
        </is>
      </c>
      <c r="G20" t="inlineStr">
        <is>
          <t>required</t>
        </is>
      </c>
      <c r="H20" t="inlineStr">
        <is>
          <t>true</t>
        </is>
      </c>
      <c r="I20" t="inlineStr">
        <is>
          <t>1</t>
        </is>
      </c>
      <c r="J20" t="inlineStr">
        <is>
          <t>Not interchangeable with Patient.gender_id</t>
        </is>
      </c>
    </row>
    <row r="21">
      <c r="A21" t="inlineStr">
        <is>
          <t>Patient.birth_sex</t>
        </is>
      </c>
      <c r="B21" t="inlineStr">
        <is>
          <t>http://hl7.org/fhir/us/core/CodeSystem/birthsex</t>
        </is>
      </c>
      <c r="C21" t="inlineStr">
        <is>
          <t>F</t>
        </is>
      </c>
      <c r="D21" t="inlineStr">
        <is>
          <t>Female</t>
        </is>
      </c>
      <c r="E21" t="inlineStr">
        <is>
          <t>administrative</t>
        </is>
      </c>
      <c r="F21" t="inlineStr">
        <is>
          <t>primary</t>
        </is>
      </c>
      <c r="G21" t="inlineStr">
        <is>
          <t>required</t>
        </is>
      </c>
      <c r="H21" t="inlineStr">
        <is>
          <t>true</t>
        </is>
      </c>
      <c r="I21" t="inlineStr">
        <is>
          <t>2</t>
        </is>
      </c>
      <c r="J21" t="inlineStr">
        <is>
          <t>Not interchangeable with Patient.gender_id</t>
        </is>
      </c>
    </row>
    <row r="22">
      <c r="A22" t="inlineStr">
        <is>
          <t>Patient.birth_sex</t>
        </is>
      </c>
      <c r="B22" t="inlineStr">
        <is>
          <t>http://hl7.org/fhir/us/core/CodeSystem/birthsex</t>
        </is>
      </c>
      <c r="C22" t="inlineStr">
        <is>
          <t>UNK</t>
        </is>
      </c>
      <c r="D22" t="inlineStr">
        <is>
          <t>Unknown</t>
        </is>
      </c>
      <c r="E22" t="inlineStr">
        <is>
          <t>administrative</t>
        </is>
      </c>
      <c r="F22" t="inlineStr">
        <is>
          <t>primary</t>
        </is>
      </c>
      <c r="G22" t="inlineStr">
        <is>
          <t>required</t>
        </is>
      </c>
      <c r="H22" t="inlineStr">
        <is>
          <t>true</t>
        </is>
      </c>
      <c r="I22" t="inlineStr">
        <is>
          <t>3</t>
        </is>
      </c>
      <c r="J22" t="inlineStr">
        <is>
          <t>Not interchangeable with Patient.gender_id</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38" customWidth="1" min="4" max="4"/>
    <col width="19" customWidth="1" min="5" max="5"/>
    <col width="38" customWidth="1" min="6" max="6"/>
    <col width="13" customWidth="1" min="7" max="7"/>
    <col width="27" customWidth="1" min="8" max="8"/>
    <col width="14" customWidth="1" min="9" max="9"/>
    <col width="17" customWidth="1" min="10" max="10"/>
    <col width="16" customWidth="1" min="11" max="11"/>
    <col width="14" customWidth="1" min="12" max="12"/>
    <col width="38" customWidth="1" min="13" max="13"/>
  </cols>
  <sheetData>
    <row r="1">
      <c r="A1" s="4" t="inlineStr">
        <is>
          <t>source_id</t>
        </is>
      </c>
      <c r="B1" s="4" t="inlineStr">
        <is>
          <t>source_field</t>
        </is>
      </c>
      <c r="C1" s="4" t="inlineStr">
        <is>
          <t>source_code</t>
        </is>
      </c>
      <c r="D1" s="4" t="inlineStr">
        <is>
          <t>source_display</t>
        </is>
      </c>
      <c r="E1" s="4" t="inlineStr">
        <is>
          <t>semantic_id</t>
        </is>
      </c>
      <c r="F1" s="4" t="inlineStr">
        <is>
          <t>target_code_system_oid</t>
        </is>
      </c>
      <c r="G1" s="4" t="inlineStr">
        <is>
          <t>target_code</t>
        </is>
      </c>
      <c r="H1" s="4" t="inlineStr">
        <is>
          <t>target_display</t>
        </is>
      </c>
      <c r="I1" s="4" t="inlineStr">
        <is>
          <t>mapping_type</t>
        </is>
      </c>
      <c r="J1" s="4" t="inlineStr">
        <is>
          <t>approval_status</t>
        </is>
      </c>
      <c r="K1" s="4" t="inlineStr">
        <is>
          <t>effective_from</t>
        </is>
      </c>
      <c r="L1" s="4" t="inlineStr">
        <is>
          <t>effective_to</t>
        </is>
      </c>
      <c r="M1" s="4" t="inlineStr">
        <is>
          <t>notes</t>
        </is>
      </c>
    </row>
    <row r="2">
      <c r="A2" t="inlineStr">
        <is>
          <t>cmt</t>
        </is>
      </c>
      <c r="B2" t="inlineStr">
        <is>
          <t>PID-10</t>
        </is>
      </c>
      <c r="C2" t="inlineStr">
        <is>
          <t>EXAMPLE_B</t>
        </is>
      </c>
      <c r="D2" t="inlineStr">
        <is>
          <t>CMT race code (replace with validated list)</t>
        </is>
      </c>
      <c r="E2" t="inlineStr">
        <is>
          <t>Patient.race</t>
        </is>
      </c>
      <c r="F2" t="inlineStr">
        <is>
          <t>urn:oid:2.16.840.1.113883.6.238</t>
        </is>
      </c>
      <c r="G2" t="inlineStr">
        <is>
          <t>2054-5</t>
        </is>
      </c>
      <c r="H2" t="inlineStr">
        <is>
          <t>Black or African American</t>
        </is>
      </c>
      <c r="I2" t="inlineStr">
        <is>
          <t>rollup</t>
        </is>
      </c>
      <c r="J2" t="inlineStr">
        <is>
          <t>draft</t>
        </is>
      </c>
      <c r="K2" t="inlineStr"/>
      <c r="L2" t="inlineStr"/>
      <c r="M2" t="inlineStr">
        <is>
          <t>POC placeholder — populate from CMT race code inventory / county Table 5</t>
        </is>
      </c>
    </row>
    <row r="3">
      <c r="A3" t="inlineStr">
        <is>
          <t>cmt</t>
        </is>
      </c>
      <c r="B3" t="inlineStr">
        <is>
          <t>PID-22</t>
        </is>
      </c>
      <c r="C3" t="inlineStr">
        <is>
          <t>EXAMPLE_H</t>
        </is>
      </c>
      <c r="D3" t="inlineStr">
        <is>
          <t>CMT ethnicity code (replace with validated list)</t>
        </is>
      </c>
      <c r="E3" t="inlineStr">
        <is>
          <t>Patient.ethnicity</t>
        </is>
      </c>
      <c r="F3" t="inlineStr">
        <is>
          <t>urn:oid:2.16.840.1.113883.6.238</t>
        </is>
      </c>
      <c r="G3" t="inlineStr">
        <is>
          <t>2135-2</t>
        </is>
      </c>
      <c r="H3" t="inlineStr">
        <is>
          <t>Hispanic or Latino</t>
        </is>
      </c>
      <c r="I3" t="inlineStr">
        <is>
          <t>rollup</t>
        </is>
      </c>
      <c r="J3" t="inlineStr">
        <is>
          <t>draft</t>
        </is>
      </c>
      <c r="K3" t="inlineStr"/>
      <c r="L3" t="inlineStr"/>
      <c r="M3" t="inlineStr">
        <is>
          <t>POC placeholder — populate from CMT ethnicity code inventory</t>
        </is>
      </c>
    </row>
    <row r="4">
      <c r="A4" t="inlineStr">
        <is>
          <t>cmt</t>
        </is>
      </c>
      <c r="B4" t="inlineStr">
        <is>
          <t>PID-15</t>
        </is>
      </c>
      <c r="C4" t="inlineStr">
        <is>
          <t>en</t>
        </is>
      </c>
      <c r="D4" t="inlineStr">
        <is>
          <t>English</t>
        </is>
      </c>
      <c r="E4" t="inlineStr">
        <is>
          <t>Patient.language</t>
        </is>
      </c>
      <c r="F4" t="inlineStr">
        <is>
          <t>urn:ietf:bcp:47</t>
        </is>
      </c>
      <c r="G4" t="inlineStr">
        <is>
          <t>en</t>
        </is>
      </c>
      <c r="H4" t="inlineStr">
        <is>
          <t>English</t>
        </is>
      </c>
      <c r="I4" t="inlineStr">
        <is>
          <t>exact</t>
        </is>
      </c>
      <c r="J4" t="inlineStr">
        <is>
          <t>draft</t>
        </is>
      </c>
      <c r="K4" t="inlineStr"/>
      <c r="L4" t="inlineStr"/>
      <c r="M4" t="inlineStr">
        <is>
          <t>Example exact map when CMT sends BCP 47 or ISO-aligned language code</t>
        </is>
      </c>
    </row>
    <row r="5">
      <c r="A5" t="inlineStr">
        <is>
          <t>cmt</t>
        </is>
      </c>
      <c r="B5" t="inlineStr">
        <is>
          <t>PID-8</t>
        </is>
      </c>
      <c r="C5" t="inlineStr">
        <is>
          <t>M</t>
        </is>
      </c>
      <c r="D5" t="inlineStr">
        <is>
          <t>Male</t>
        </is>
      </c>
      <c r="E5" t="inlineStr">
        <is>
          <t>Patient.birth_sex</t>
        </is>
      </c>
      <c r="F5" t="inlineStr">
        <is>
          <t>http://hl7.org/fhir/us/core/CodeSystem/birthsex</t>
        </is>
      </c>
      <c r="G5" t="inlineStr">
        <is>
          <t>M</t>
        </is>
      </c>
      <c r="H5" t="inlineStr">
        <is>
          <t>Male</t>
        </is>
      </c>
      <c r="I5" t="inlineStr">
        <is>
          <t>exact</t>
        </is>
      </c>
      <c r="J5" t="inlineStr">
        <is>
          <t>draft</t>
        </is>
      </c>
      <c r="K5" t="inlineStr"/>
      <c r="L5" t="inlineStr"/>
      <c r="M5" t="inlineStr">
        <is>
          <t>Administrative sex / SexID — not gender identity</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1" customWidth="1" min="3" max="3"/>
    <col width="38" customWidth="1" min="4" max="4"/>
    <col width="16" customWidth="1" min="5" max="5"/>
    <col width="12" customWidth="1" min="6" max="6"/>
    <col width="20" customWidth="1" min="7" max="7"/>
    <col width="13" customWidth="1" min="8" max="8"/>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c r="H1" s="4" t="inlineStr">
        <is>
          <t>next_action</t>
        </is>
      </c>
    </row>
    <row r="2">
      <c r="A2" t="inlineStr">
        <is>
          <t>Patient.race</t>
        </is>
      </c>
      <c r="B2" t="inlineStr">
        <is>
          <t>Approved</t>
        </is>
      </c>
      <c r="C2" t="inlineStr">
        <is>
          <t>Ajay Prashar</t>
        </is>
      </c>
      <c r="D2" t="inlineStr">
        <is>
          <t>Health equity dashboard; ASCMI consent; crosswalk validation</t>
        </is>
      </c>
      <c r="E2" t="inlineStr"/>
      <c r="F2" t="inlineStr">
        <is>
          <t>POC</t>
        </is>
      </c>
      <c r="G2" t="inlineStr">
        <is>
          <t>demographics_pilot</t>
        </is>
      </c>
      <c r="H2" t="inlineStr">
        <is>
          <t>Done</t>
        </is>
      </c>
    </row>
    <row r="3">
      <c r="A3" t="inlineStr">
        <is>
          <t>Patient.ethnicity</t>
        </is>
      </c>
      <c r="B3" t="inlineStr">
        <is>
          <t>Approved</t>
        </is>
      </c>
      <c r="C3" t="inlineStr">
        <is>
          <t>Ajay Prashar</t>
        </is>
      </c>
      <c r="D3" t="inlineStr">
        <is>
          <t>Health equity dashboard; ASCMI consent</t>
        </is>
      </c>
      <c r="E3" t="inlineStr"/>
      <c r="F3" t="inlineStr">
        <is>
          <t>POC</t>
        </is>
      </c>
      <c r="G3" t="inlineStr">
        <is>
          <t>demographics_pilot</t>
        </is>
      </c>
      <c r="H3" t="inlineStr">
        <is>
          <t>Done</t>
        </is>
      </c>
    </row>
    <row r="4">
      <c r="A4" t="inlineStr">
        <is>
          <t>Patient.language</t>
        </is>
      </c>
      <c r="B4" t="inlineStr">
        <is>
          <t>Approved</t>
        </is>
      </c>
      <c r="C4" t="inlineStr">
        <is>
          <t>Ajay Prashar</t>
        </is>
      </c>
      <c r="D4" t="inlineStr">
        <is>
          <t>Health equity dashboard; outreach language targeting</t>
        </is>
      </c>
      <c r="E4" t="inlineStr"/>
      <c r="F4" t="inlineStr">
        <is>
          <t>POC</t>
        </is>
      </c>
      <c r="G4" t="inlineStr">
        <is>
          <t>demographics_pilot</t>
        </is>
      </c>
      <c r="H4" t="inlineStr">
        <is>
          <t>Done</t>
        </is>
      </c>
    </row>
    <row r="5">
      <c r="A5" t="inlineStr">
        <is>
          <t>Patient.gender_id</t>
        </is>
      </c>
      <c r="B5" t="inlineStr">
        <is>
          <t>Approved</t>
        </is>
      </c>
      <c r="C5" t="inlineStr">
        <is>
          <t>Ajay Prashar</t>
        </is>
      </c>
      <c r="D5" t="inlineStr">
        <is>
          <t>ASCMI consent; equity reporting</t>
        </is>
      </c>
      <c r="E5" t="inlineStr"/>
      <c r="F5" t="inlineStr">
        <is>
          <t>POC</t>
        </is>
      </c>
      <c r="G5" t="inlineStr">
        <is>
          <t>demographics_pilot</t>
        </is>
      </c>
      <c r="H5" t="inlineStr">
        <is>
          <t>Done</t>
        </is>
      </c>
    </row>
    <row r="6">
      <c r="A6" t="inlineStr">
        <is>
          <t>Patient.birth_sex</t>
        </is>
      </c>
      <c r="B6" t="inlineStr">
        <is>
          <t>Approved</t>
        </is>
      </c>
      <c r="C6" t="inlineStr">
        <is>
          <t>Ajay Prashar</t>
        </is>
      </c>
      <c r="D6" t="inlineStr">
        <is>
          <t>UMPI matching; clinical use; not interchangeable with gender identity</t>
        </is>
      </c>
      <c r="E6" t="inlineStr"/>
      <c r="F6" t="inlineStr">
        <is>
          <t>POC</t>
        </is>
      </c>
      <c r="G6" t="inlineStr">
        <is>
          <t>demographics_pilot</t>
        </is>
      </c>
      <c r="H6" t="inlineStr">
        <is>
          <t>Done</t>
        </is>
      </c>
    </row>
    <row r="7">
      <c r="A7" t="inlineStr">
        <is>
          <t>Condition.code</t>
        </is>
      </c>
      <c r="B7" t="inlineStr"/>
      <c r="C7" t="inlineStr"/>
      <c r="D7" t="inlineStr"/>
      <c r="E7" t="inlineStr"/>
      <c r="F7" t="inlineStr"/>
      <c r="G7" t="inlineStr"/>
      <c r="H7" t="inlineStr"/>
    </row>
    <row r="8">
      <c r="A8" t="inlineStr">
        <is>
          <t>Coverage.identifier</t>
        </is>
      </c>
      <c r="B8" t="inlineStr"/>
      <c r="C8" t="inlineStr"/>
      <c r="D8" t="inlineStr"/>
      <c r="E8" t="inlineStr"/>
      <c r="F8" t="inlineStr"/>
      <c r="G8" t="inlineStr"/>
      <c r="H8" t="inlineStr"/>
    </row>
    <row r="9">
      <c r="A9" t="inlineStr">
        <is>
          <t>Coverage.payor</t>
        </is>
      </c>
      <c r="B9" t="inlineStr"/>
      <c r="C9" t="inlineStr"/>
      <c r="D9" t="inlineStr"/>
      <c r="E9" t="inlineStr"/>
      <c r="F9" t="inlineStr"/>
      <c r="G9" t="inlineStr"/>
      <c r="H9" t="inlineStr"/>
    </row>
    <row r="10">
      <c r="A10" t="inlineStr">
        <is>
          <t>Encounter.class</t>
        </is>
      </c>
      <c r="B10" t="inlineStr"/>
      <c r="C10" t="inlineStr"/>
      <c r="D10" t="inlineStr"/>
      <c r="E10" t="inlineStr"/>
      <c r="F10" t="inlineStr"/>
      <c r="G10" t="inlineStr"/>
      <c r="H10" t="inlineStr"/>
    </row>
    <row r="11">
      <c r="A11" t="inlineStr">
        <is>
          <t>Encounter.hospitalization.dischargeDisposition</t>
        </is>
      </c>
      <c r="B11" t="inlineStr"/>
      <c r="C11" t="inlineStr"/>
      <c r="D11" t="inlineStr"/>
      <c r="E11" t="inlineStr"/>
      <c r="F11" t="inlineStr"/>
      <c r="G11" t="inlineStr"/>
      <c r="H11" t="inlineStr"/>
    </row>
    <row r="12">
      <c r="A12" t="inlineStr">
        <is>
          <t>Encounter.identifier</t>
        </is>
      </c>
      <c r="B12" t="inlineStr"/>
      <c r="C12" t="inlineStr"/>
      <c r="D12" t="inlineStr"/>
      <c r="E12" t="inlineStr"/>
      <c r="F12" t="inlineStr"/>
      <c r="G12" t="inlineStr"/>
      <c r="H12" t="inlineStr"/>
    </row>
    <row r="13">
      <c r="A13" t="inlineStr">
        <is>
          <t>Encounter.location</t>
        </is>
      </c>
      <c r="B13" t="inlineStr"/>
      <c r="C13" t="inlineStr"/>
      <c r="D13" t="inlineStr"/>
      <c r="E13" t="inlineStr"/>
      <c r="F13" t="inlineStr"/>
      <c r="G13" t="inlineStr"/>
      <c r="H13" t="inlineStr"/>
    </row>
    <row r="14">
      <c r="A14" t="inlineStr">
        <is>
          <t>Encounter.participant</t>
        </is>
      </c>
      <c r="B14" t="inlineStr"/>
      <c r="C14" t="inlineStr"/>
      <c r="D14" t="inlineStr"/>
      <c r="E14" t="inlineStr"/>
      <c r="F14" t="inlineStr"/>
      <c r="G14" t="inlineStr"/>
      <c r="H14" t="inlineStr"/>
    </row>
    <row r="15">
      <c r="A15" t="inlineStr">
        <is>
          <t>Encounter.period.end</t>
        </is>
      </c>
      <c r="B15" t="inlineStr"/>
      <c r="C15" t="inlineStr"/>
      <c r="D15" t="inlineStr"/>
      <c r="E15" t="inlineStr"/>
      <c r="F15" t="inlineStr"/>
      <c r="G15" t="inlineStr"/>
      <c r="H15" t="inlineStr"/>
    </row>
    <row r="16">
      <c r="A16" t="inlineStr">
        <is>
          <t>Encounter.period.start</t>
        </is>
      </c>
      <c r="B16" t="inlineStr"/>
      <c r="C16" t="inlineStr"/>
      <c r="D16" t="inlineStr"/>
      <c r="E16" t="inlineStr"/>
      <c r="F16" t="inlineStr"/>
      <c r="G16" t="inlineStr"/>
      <c r="H16" t="inlineStr"/>
    </row>
    <row r="17">
      <c r="A17" t="inlineStr">
        <is>
          <t>Encounter.reasonCode</t>
        </is>
      </c>
      <c r="B17" t="inlineStr"/>
      <c r="C17" t="inlineStr"/>
      <c r="D17" t="inlineStr"/>
      <c r="E17" t="inlineStr"/>
      <c r="F17" t="inlineStr"/>
      <c r="G17" t="inlineStr"/>
      <c r="H17" t="inlineStr"/>
    </row>
    <row r="18">
      <c r="A18" t="inlineStr">
        <is>
          <t>Encounter.serviceProvider</t>
        </is>
      </c>
      <c r="B18" t="inlineStr"/>
      <c r="C18" t="inlineStr"/>
      <c r="D18" t="inlineStr"/>
      <c r="E18" t="inlineStr"/>
      <c r="F18" t="inlineStr"/>
      <c r="G18" t="inlineStr"/>
      <c r="H18" t="inlineStr"/>
    </row>
    <row r="19">
      <c r="A19" t="inlineStr">
        <is>
          <t>Encounter.serviceType</t>
        </is>
      </c>
      <c r="B19" t="inlineStr"/>
      <c r="C19" t="inlineStr"/>
      <c r="D19" t="inlineStr"/>
      <c r="E19" t="inlineStr"/>
      <c r="F19" t="inlineStr"/>
      <c r="G19" t="inlineStr"/>
      <c r="H19" t="inlineStr"/>
    </row>
    <row r="20">
      <c r="A20" t="inlineStr">
        <is>
          <t>Patient.address</t>
        </is>
      </c>
      <c r="B20" t="inlineStr"/>
      <c r="C20" t="inlineStr"/>
      <c r="D20" t="inlineStr"/>
      <c r="E20" t="inlineStr"/>
      <c r="F20" t="inlineStr"/>
      <c r="G20" t="inlineStr"/>
      <c r="H20" t="inlineStr"/>
    </row>
    <row r="21">
      <c r="A21" t="inlineStr">
        <is>
          <t>Patient.address_block</t>
        </is>
      </c>
      <c r="B21" t="inlineStr"/>
      <c r="C21" t="inlineStr"/>
      <c r="D21" t="inlineStr"/>
      <c r="E21" t="inlineStr"/>
      <c r="F21" t="inlineStr"/>
      <c r="G21" t="inlineStr"/>
      <c r="H21" t="inlineStr"/>
    </row>
    <row r="22">
      <c r="A22" t="inlineStr">
        <is>
          <t>Patient.address_city</t>
        </is>
      </c>
      <c r="B22" t="inlineStr"/>
      <c r="C22" t="inlineStr"/>
      <c r="D22" t="inlineStr"/>
      <c r="E22" t="inlineStr"/>
      <c r="F22" t="inlineStr"/>
      <c r="G22" t="inlineStr"/>
      <c r="H22" t="inlineStr"/>
    </row>
    <row r="23">
      <c r="A23" t="inlineStr">
        <is>
          <t>Patient.address_country</t>
        </is>
      </c>
      <c r="B23" t="inlineStr"/>
      <c r="C23" t="inlineStr"/>
      <c r="D23" t="inlineStr"/>
      <c r="E23" t="inlineStr"/>
      <c r="F23" t="inlineStr"/>
      <c r="G23" t="inlineStr"/>
      <c r="H23" t="inlineStr"/>
    </row>
    <row r="24">
      <c r="A24" t="inlineStr">
        <is>
          <t>Patient.address_district</t>
        </is>
      </c>
      <c r="B24" t="inlineStr"/>
      <c r="C24" t="inlineStr"/>
      <c r="D24" t="inlineStr"/>
      <c r="E24" t="inlineStr"/>
      <c r="F24" t="inlineStr"/>
      <c r="G24" t="inlineStr"/>
      <c r="H24" t="inlineStr"/>
    </row>
    <row r="25">
      <c r="A25" t="inlineStr">
        <is>
          <t>Patient.address_line1</t>
        </is>
      </c>
      <c r="B25" t="inlineStr"/>
      <c r="C25" t="inlineStr"/>
      <c r="D25" t="inlineStr"/>
      <c r="E25" t="inlineStr"/>
      <c r="F25" t="inlineStr"/>
      <c r="G25" t="inlineStr"/>
      <c r="H25" t="inlineStr"/>
    </row>
    <row r="26">
      <c r="A26" t="inlineStr">
        <is>
          <t>Patient.address_line2</t>
        </is>
      </c>
      <c r="B26" t="inlineStr"/>
      <c r="C26" t="inlineStr"/>
      <c r="D26" t="inlineStr"/>
      <c r="E26" t="inlineStr"/>
      <c r="F26" t="inlineStr"/>
      <c r="G26" t="inlineStr"/>
      <c r="H26" t="inlineStr"/>
    </row>
    <row r="27">
      <c r="A27" t="inlineStr">
        <is>
          <t>Patient.address_line3</t>
        </is>
      </c>
      <c r="B27" t="inlineStr"/>
      <c r="C27" t="inlineStr"/>
      <c r="D27" t="inlineStr"/>
      <c r="E27" t="inlineStr"/>
      <c r="F27" t="inlineStr"/>
      <c r="G27" t="inlineStr"/>
      <c r="H27" t="inlineStr"/>
    </row>
    <row r="28">
      <c r="A28" t="inlineStr">
        <is>
          <t>Patient.address_prev</t>
        </is>
      </c>
      <c r="B28" t="inlineStr"/>
      <c r="C28" t="inlineStr"/>
      <c r="D28" t="inlineStr"/>
      <c r="E28" t="inlineStr"/>
      <c r="F28" t="inlineStr"/>
      <c r="G28" t="inlineStr"/>
      <c r="H28" t="inlineStr"/>
    </row>
    <row r="29">
      <c r="A29" t="inlineStr">
        <is>
          <t>Patient.address_state</t>
        </is>
      </c>
      <c r="B29" t="inlineStr"/>
      <c r="C29" t="inlineStr"/>
      <c r="D29" t="inlineStr"/>
      <c r="E29" t="inlineStr"/>
      <c r="F29" t="inlineStr"/>
      <c r="G29" t="inlineStr"/>
      <c r="H29" t="inlineStr"/>
    </row>
    <row r="30">
      <c r="A30" t="inlineStr">
        <is>
          <t>Patient.address_zip</t>
        </is>
      </c>
      <c r="B30" t="inlineStr"/>
      <c r="C30" t="inlineStr"/>
      <c r="D30" t="inlineStr"/>
      <c r="E30" t="inlineStr"/>
      <c r="F30" t="inlineStr"/>
      <c r="G30" t="inlineStr"/>
      <c r="H30" t="inlineStr"/>
    </row>
    <row r="31">
      <c r="A31" t="inlineStr">
        <is>
          <t>Patient.birth_date</t>
        </is>
      </c>
      <c r="B31" t="inlineStr"/>
      <c r="C31" t="inlineStr"/>
      <c r="D31" t="inlineStr"/>
      <c r="E31" t="inlineStr"/>
      <c r="F31" t="inlineStr"/>
      <c r="G31" t="inlineStr"/>
      <c r="H31" t="inlineStr"/>
    </row>
    <row r="32">
      <c r="A32" t="inlineStr">
        <is>
          <t>Patient.death_date</t>
        </is>
      </c>
      <c r="B32" t="inlineStr"/>
      <c r="C32" t="inlineStr"/>
      <c r="D32" t="inlineStr"/>
      <c r="E32" t="inlineStr"/>
      <c r="F32" t="inlineStr"/>
      <c r="G32" t="inlineStr"/>
      <c r="H32" t="inlineStr"/>
    </row>
    <row r="33">
      <c r="A33" t="inlineStr">
        <is>
          <t>Patient.email</t>
        </is>
      </c>
      <c r="B33" t="inlineStr"/>
      <c r="C33" t="inlineStr"/>
      <c r="D33" t="inlineStr"/>
      <c r="E33" t="inlineStr"/>
      <c r="F33" t="inlineStr"/>
      <c r="G33" t="inlineStr"/>
      <c r="H33" t="inlineStr"/>
    </row>
    <row r="34">
      <c r="A34" t="inlineStr">
        <is>
          <t>Patient.housing_status</t>
        </is>
      </c>
      <c r="B34" t="inlineStr"/>
      <c r="C34" t="inlineStr"/>
      <c r="D34" t="inlineStr"/>
      <c r="E34" t="inlineStr"/>
      <c r="F34" t="inlineStr"/>
      <c r="G34" t="inlineStr"/>
      <c r="H34" t="inlineStr"/>
    </row>
    <row r="35">
      <c r="A35" t="inlineStr">
        <is>
          <t>Patient.marital_status</t>
        </is>
      </c>
      <c r="B35" t="inlineStr"/>
      <c r="C35" t="inlineStr"/>
      <c r="D35" t="inlineStr"/>
      <c r="E35" t="inlineStr"/>
      <c r="F35" t="inlineStr"/>
      <c r="G35" t="inlineStr"/>
      <c r="H35" t="inlineStr"/>
    </row>
    <row r="36">
      <c r="A36" t="inlineStr">
        <is>
          <t>Patient.name_first</t>
        </is>
      </c>
      <c r="B36" t="inlineStr"/>
      <c r="C36" t="inlineStr"/>
      <c r="D36" t="inlineStr"/>
      <c r="E36" t="inlineStr"/>
      <c r="F36" t="inlineStr"/>
      <c r="G36" t="inlineStr"/>
      <c r="H36" t="inlineStr"/>
    </row>
    <row r="37">
      <c r="A37" t="inlineStr">
        <is>
          <t>Patient.name_last</t>
        </is>
      </c>
      <c r="B37" t="inlineStr"/>
      <c r="C37" t="inlineStr"/>
      <c r="D37" t="inlineStr"/>
      <c r="E37" t="inlineStr"/>
      <c r="F37" t="inlineStr"/>
      <c r="G37" t="inlineStr"/>
      <c r="H37" t="inlineStr"/>
    </row>
    <row r="38">
      <c r="A38" t="inlineStr">
        <is>
          <t>Patient.name_middle</t>
        </is>
      </c>
      <c r="B38" t="inlineStr"/>
      <c r="C38" t="inlineStr"/>
      <c r="D38" t="inlineStr"/>
      <c r="E38" t="inlineStr"/>
      <c r="F38" t="inlineStr"/>
      <c r="G38" t="inlineStr"/>
      <c r="H38" t="inlineStr"/>
    </row>
    <row r="39">
      <c r="A39" t="inlineStr">
        <is>
          <t>Patient.name_prev</t>
        </is>
      </c>
      <c r="B39" t="inlineStr"/>
      <c r="C39" t="inlineStr"/>
      <c r="D39" t="inlineStr"/>
      <c r="E39" t="inlineStr"/>
      <c r="F39" t="inlineStr"/>
      <c r="G39" t="inlineStr"/>
      <c r="H39" t="inlineStr"/>
    </row>
    <row r="40">
      <c r="A40" t="inlineStr">
        <is>
          <t>Patient.name_suffix</t>
        </is>
      </c>
      <c r="B40" t="inlineStr"/>
      <c r="C40" t="inlineStr"/>
      <c r="D40" t="inlineStr"/>
      <c r="E40" t="inlineStr"/>
      <c r="F40" t="inlineStr"/>
      <c r="G40" t="inlineStr"/>
      <c r="H40" t="inlineStr"/>
    </row>
    <row r="41">
      <c r="A41" t="inlineStr">
        <is>
          <t>Patient.occupation</t>
        </is>
      </c>
      <c r="B41" t="inlineStr"/>
      <c r="C41" t="inlineStr"/>
      <c r="D41" t="inlineStr"/>
      <c r="E41" t="inlineStr"/>
      <c r="F41" t="inlineStr"/>
      <c r="G41" t="inlineStr"/>
      <c r="H41" t="inlineStr"/>
    </row>
    <row r="42">
      <c r="A42" t="inlineStr">
        <is>
          <t>Patient.phone</t>
        </is>
      </c>
      <c r="B42" t="inlineStr"/>
      <c r="C42" t="inlineStr"/>
      <c r="D42" t="inlineStr"/>
      <c r="E42" t="inlineStr"/>
      <c r="F42" t="inlineStr"/>
      <c r="G42" t="inlineStr"/>
      <c r="H42" t="inlineStr"/>
    </row>
    <row r="43">
      <c r="A43" t="inlineStr">
        <is>
          <t>Patient.related_person</t>
        </is>
      </c>
      <c r="B43" t="inlineStr"/>
      <c r="C43" t="inlineStr"/>
      <c r="D43" t="inlineStr"/>
      <c r="E43" t="inlineStr"/>
      <c r="F43" t="inlineStr"/>
      <c r="G43" t="inlineStr"/>
      <c r="H43" t="inlineStr"/>
    </row>
    <row r="44">
      <c r="A44" t="inlineStr">
        <is>
          <t>Patient.religion</t>
        </is>
      </c>
      <c r="B44" t="inlineStr"/>
      <c r="C44" t="inlineStr"/>
      <c r="D44" t="inlineStr"/>
      <c r="E44" t="inlineStr"/>
      <c r="F44" t="inlineStr"/>
      <c r="G44" t="inlineStr"/>
      <c r="H44" t="inlineStr"/>
    </row>
    <row r="45">
      <c r="A45" t="inlineStr">
        <is>
          <t>Patient.sexual_orient</t>
        </is>
      </c>
      <c r="B45" t="inlineStr"/>
      <c r="C45" t="inlineStr"/>
      <c r="D45" t="inlineStr"/>
      <c r="E45" t="inlineStr"/>
      <c r="F45" t="inlineStr"/>
      <c r="G45" t="inlineStr"/>
      <c r="H45" t="inlineStr"/>
    </row>
    <row r="46">
      <c r="A46" t="inlineStr">
        <is>
          <t>Patient.ssn</t>
        </is>
      </c>
      <c r="B46" t="inlineStr"/>
      <c r="C46" t="inlineStr"/>
      <c r="D46" t="inlineStr"/>
      <c r="E46" t="inlineStr"/>
      <c r="F46" t="inlineStr"/>
      <c r="G46" t="inlineStr"/>
      <c r="H46" t="inlineStr"/>
    </row>
    <row r="47">
      <c r="A47" t="inlineStr">
        <is>
          <t>Patient.tribal_affil</t>
        </is>
      </c>
      <c r="B47" t="inlineStr"/>
      <c r="C47" t="inlineStr"/>
      <c r="D47" t="inlineStr"/>
      <c r="E47" t="inlineStr"/>
      <c r="F47" t="inlineStr"/>
      <c r="G47" t="inlineStr"/>
      <c r="H47" t="inlineStr"/>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Change semantic_id in B3 to preview catalog, dictionary, ADT/CCDA context, and sources. ADT/CCDA show first matching row; see ADT_Mappings and CCDA_Mappings for full lists.</t>
        </is>
      </c>
    </row>
    <row r="3">
      <c r="A3" t="inlineStr">
        <is>
          <t>semantic_id</t>
        </is>
      </c>
      <c r="B3" t="inlineStr">
        <is>
          <t>Patient.race</t>
        </is>
      </c>
    </row>
    <row r="4">
      <c r="A4" s="6" t="inlineStr">
        <is>
          <t>Field</t>
        </is>
      </c>
      <c r="B4" s="6" t="inlineStr">
        <is>
          <t>Value</t>
        </is>
      </c>
    </row>
    <row r="5">
      <c r="A5" t="inlineStr">
        <is>
          <t>USCDI element</t>
        </is>
      </c>
      <c r="B5" s="2">
        <f>IF($B$3="","",IFERROR(INDEX(chi_catalog[uscdi_element],MATCH($B$3,chi_catalog[semantic_id],0)),""))</f>
        <v/>
      </c>
    </row>
    <row r="6">
      <c r="A6" t="inlineStr">
        <is>
          <t>USCDI description</t>
        </is>
      </c>
      <c r="B6" s="2">
        <f>IF($B$3="","",IFERROR(INDEX(chi_catalog[uscdi_description],MATCH($B$3,chi_catalog[semantic_id],0)),""))</f>
        <v/>
      </c>
    </row>
    <row r="7">
      <c r="A7" t="inlineStr">
        <is>
          <t>Classification</t>
        </is>
      </c>
      <c r="B7" s="2">
        <f>IF($B$3="","",IFERROR(INDEX(chi_catalog[classification],MATCH($B$3,chi_catalog[semantic_id],0)),""))</f>
        <v/>
      </c>
    </row>
    <row r="8">
      <c r="A8" t="inlineStr">
        <is>
          <t>Data steward</t>
        </is>
      </c>
      <c r="B8" s="2">
        <f>IF($B$3="","",IFERROR(INDEX(chi_catalog[data_steward],MATCH($B$3,chi_catalog[semantic_id],0)),""))</f>
        <v/>
      </c>
    </row>
    <row r="9">
      <c r="A9" t="inlineStr">
        <is>
          <t>Approval status</t>
        </is>
      </c>
      <c r="B9" s="2">
        <f>IF($B$3="","",IFERROR(INDEX(chi_catalog[approval_status],MATCH($B$3,chi_catalog[semantic_id],0)),""))</f>
        <v/>
      </c>
    </row>
    <row r="10">
      <c r="A10" t="inlineStr">
        <is>
          <t>FHIR R4 path</t>
        </is>
      </c>
      <c r="B10" s="2">
        <f>IF($B$3="","",IFERROR(INDEX(chi_dictionary[fhir_r4_path],MATCH($B$3,chi_dictionary[semantic_id],0)),""))</f>
        <v/>
      </c>
    </row>
    <row r="11">
      <c r="A11" t="inlineStr">
        <is>
          <t>US Core profile</t>
        </is>
      </c>
      <c r="B11" s="2">
        <f>IF($B$3="","",IFERROR(INDEX(chi_dictionary[fhir_profile],MATCH($B$3,chi_dictionary[semantic_id],0)),""))</f>
        <v/>
      </c>
    </row>
    <row r="12">
      <c r="A12" t="inlineStr">
        <is>
          <t>Terminology / standards notes</t>
        </is>
      </c>
      <c r="B12" s="2">
        <f>IF($B$3="","",IFERROR(INDEX(chi_dictionary[data_quality_notes],MATCH($B$3,chi_dictionary[semantic_id],0)),""))</f>
        <v/>
      </c>
    </row>
    <row r="13">
      <c r="A13" t="inlineStr">
        <is>
          <t>CHI survivorship logic</t>
        </is>
      </c>
      <c r="B13" s="2">
        <f>IF($B$3="","",IFERROR(INDEX(chi_dictionary[chi_survivorship_logic],MATCH($B$3,chi_dictionary[semantic_id],0)),""))</f>
        <v/>
      </c>
    </row>
    <row r="14">
      <c r="A14" t="inlineStr">
        <is>
          <t>Data source rank</t>
        </is>
      </c>
      <c r="B14" s="2">
        <f>IF($B$3="","",IFERROR(INDEX(chi_dictionary[data_source_rank_reference],MATCH($B$3,chi_dictionary[semantic_id],0)),""))</f>
        <v/>
      </c>
    </row>
    <row r="15">
      <c r="A15" t="inlineStr">
        <is>
          <t>HL7 ADT field (first match)</t>
        </is>
      </c>
      <c r="B15" s="2">
        <f>IF($B$3="","",IFERROR(INDEX(chi_adt_mappings[field_id],MATCH($B$3,chi_adt_mappings[semantic_id],0)),""))</f>
        <v/>
      </c>
    </row>
    <row r="16">
      <c r="A16" t="inlineStr">
        <is>
          <t>HL7 ADT segment (first match)</t>
        </is>
      </c>
      <c r="B16" s="2">
        <f>IF($B$3="","",IFERROR(INDEX(chi_adt_mappings[segment_id],MATCH($B$3,chi_adt_mappings[semantic_id],0)),""))</f>
        <v/>
      </c>
    </row>
    <row r="17">
      <c r="A17" t="inlineStr">
        <is>
          <t>C-CDA XML path (first match)</t>
        </is>
      </c>
      <c r="B17" s="2">
        <f>IF($B$3="","",IFERROR(INDEX(chi_ccda_mappings[xml_path],MATCH($B$3,chi_ccda_mappings[semantic_id],0)),""))</f>
        <v/>
      </c>
    </row>
    <row r="18">
      <c r="A18" t="inlineStr">
        <is>
          <t>Governed code (first member)</t>
        </is>
      </c>
      <c r="B18" s="2">
        <f>IF($B$3="","",IFERROR(INDEX(chi_value_set_member[code],MATCH($B$3,chi_value_set_member[semantic_id],0)),""))</f>
        <v/>
      </c>
    </row>
    <row r="19">
      <c r="A19" t="inlineStr">
        <is>
          <t>Governed code display (first member)</t>
        </is>
      </c>
      <c r="B19" s="2">
        <f>IF($B$3="","",IFERROR(INDEX(chi_value_set_member[display],MATCH($B$3,chi_value_set_member[semantic_id],0)),""))</f>
        <v/>
      </c>
    </row>
    <row r="20">
      <c r="A20" t="inlineStr">
        <is>
          <t>Source crosswalk code (first match)</t>
        </is>
      </c>
      <c r="B20" s="2">
        <f>IF($B$3="","",IFERROR(INDEX(chi_source_value_crosswalk[source_code],MATCH($B$3,chi_source_value_crosswalk[semantic_id],0)),""))</f>
        <v/>
      </c>
    </row>
    <row r="21">
      <c r="A21" t="inlineStr">
        <is>
          <t>Primary source (first link)</t>
        </is>
      </c>
      <c r="B21" s="2">
        <f>IF($B$3="","",IFERROR(INDEX(chi_source_availability[source_id],MATCH($B$3,chi_source_availability[semantic_id],0)),""))</f>
        <v/>
      </c>
    </row>
    <row r="22">
      <c r="A22" t="inlineStr">
        <is>
          <t>Source availability</t>
        </is>
      </c>
      <c r="B22" s="2">
        <f>IF($B$3="","",IFERROR(INDEX(chi_source_availability[availability],MATCH($B$3,chi_source_availability[semantic_id],0)),""))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2026-06-09T21:23:42Z</dcterms:created>
  <dcterms:modified xsi:type="dcterms:W3CDTF">2026-06-09T21:23:42Z</dcterms:modified>
</cp:coreProperties>
</file>